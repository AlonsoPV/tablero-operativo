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adaefd36e44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d1756cdb864748b1"/>
    <x:sheet xmlns:r="http://schemas.openxmlformats.org/officeDocument/2006/relationships" name="Sesiones" sheetId="2" r:id="R7154f974283d4f67"/>
    <x:sheet xmlns:r="http://schemas.openxmlformats.org/officeDocument/2006/relationships" name="UAT" sheetId="3" r:id="R361232d458ed48b1"/>
    <x:sheet xmlns:r="http://schemas.openxmlformats.org/officeDocument/2006/relationships" name="Guia" sheetId="4" r:id="R4d0f249c1fee4f17"/>
    <x:sheet xmlns:r="http://schemas.openxmlformats.org/officeDocument/2006/relationships" name="Issues" sheetId="5" r:id="R5570162e52a1428d"/>
    <x:sheet xmlns:r="http://schemas.openxmlformats.org/officeDocument/2006/relationships" name="Usuarios y roles" sheetId="6" r:id="Rd07d38e15a1343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f0233220bb4d20" /><Relationship Type="http://schemas.openxmlformats.org/officeDocument/2006/relationships/theme" Target="/xl/theme/theme1.xml" Id="R9837e3e447954227" /><Relationship Type="http://schemas.openxmlformats.org/officeDocument/2006/relationships/sharedStrings" Target="/xl/sharedStrings.xml" Id="R5e9841086a4840ad" /><Relationship Type="http://schemas.openxmlformats.org/officeDocument/2006/relationships/worksheet" Target="/xl/worksheets/sheet1.xml" Id="Rd1756cdb864748b1" /><Relationship Type="http://schemas.openxmlformats.org/officeDocument/2006/relationships/worksheet" Target="/xl/worksheets/sheet2.xml" Id="R7154f974283d4f67" /><Relationship Type="http://schemas.openxmlformats.org/officeDocument/2006/relationships/worksheet" Target="/xl/worksheets/sheet3.xml" Id="R361232d458ed48b1" /><Relationship Type="http://schemas.openxmlformats.org/officeDocument/2006/relationships/worksheet" Target="/xl/worksheets/sheet4.xml" Id="R4d0f249c1fee4f17" /><Relationship Type="http://schemas.openxmlformats.org/officeDocument/2006/relationships/worksheet" Target="/xl/worksheets/sheet5.xml" Id="R5570162e52a1428d" /><Relationship Type="http://schemas.openxmlformats.org/officeDocument/2006/relationships/worksheet" Target="/xl/worksheets/sheet6.xml" Id="Rd07d38e15a134309" /></Relationships>
</file>

<file path=xl/tables/table1.xml><?xml version="1.0" encoding="utf-8"?>
<x:table xmlns:x="http://schemas.openxmlformats.org/spreadsheetml/2006/main" id="1" name="SesionesUATAnalista" displayName="SesionesUATAnalista" ref="A1:F6" headerRowCount="1">
  <x:tableColumns count="6">
    <x:tableColumn id="1" name="Sesion"/>
    <x:tableColumn id="2" name="Duracion"/>
    <x:tableColumn id="3" name="Modulos"/>
    <x:tableColumn id="4" name="Casos"/>
    <x:tableColumn id="5" name="Objetivo"/>
    <x:tableColumn id="6" name="Estado"/>
  </x:tableColumns>
  <x:tableStyleInfo name="TableStyleMedium2" showRowStripes="1"/>
</x:table>
</file>

<file path=xl/tables/table2.xml><?xml version="1.0" encoding="utf-8"?>
<x:table xmlns:x="http://schemas.openxmlformats.org/spreadsheetml/2006/main" id="2" name="MatrizUATAnalista" displayName="MatrizUATAnalista" ref="A1:N41" headerRowCount="1">
  <x:tableColumns count="14">
    <x:tableColumn id="1" name="ID"/>
    <x:tableColumn id="2" name="Modulo"/>
    <x:tableColumn id="3" name="Tipo"/>
    <x:tableColumn id="4" name="Caso de prueba"/>
    <x:tableColumn id="5" name="Precondicion"/>
    <x:tableColumn id="6" name="Pasos"/>
    <x:tableColumn id="7" name="Resultado esperado"/>
    <x:tableColumn id="8" name="Datos de prueba"/>
    <x:tableColumn id="9" name="Responsable"/>
    <x:tableColumn id="10" name="Severidad"/>
    <x:tableColumn id="11" name="Resultado"/>
    <x:tableColumn id="12" name="Evidencia / liga"/>
    <x:tableColumn id="13" name="Issue relacionado"/>
    <x:tableColumn id="14" name="Observaciones"/>
  </x:tableColumns>
  <x:tableStyleInfo name="TableStyleMedium2" showRowStripes="1"/>
</x:table>
</file>

<file path=xl/tables/table3.xml><?xml version="1.0" encoding="utf-8"?>
<x:table xmlns:x="http://schemas.openxmlformats.org/spreadsheetml/2006/main" id="3" name="GuiaUsoUAT" displayName="GuiaUsoUAT" ref="A3:F8" headerRowCount="1">
  <x:tableColumns count="6">
    <x:tableColumn id="1" name="Bloque"/>
    <x:tableColumn id="2" name="Que hacer"/>
    <x:tableColumn id="3" name="Quien"/>
    <x:tableColumn id="4" name="Cuando"/>
    <x:tableColumn id="5" name="Salida esperada"/>
    <x:tableColumn id="6" name="Notas"/>
  </x:tableColumns>
  <x:tableStyleInfo name="TableStyleMedium2" showRowStripes="1"/>
</x:table>
</file>

<file path=xl/tables/table4.xml><?xml version="1.0" encoding="utf-8"?>
<x:table xmlns:x="http://schemas.openxmlformats.org/spreadsheetml/2006/main" id="4" name="IssuesUATAnalista" displayName="IssuesUATAnalista" ref="A1:J2" headerRowCount="1">
  <x:tableColumns count="10">
    <x:tableColumn id="1" name="ID Issue"/>
    <x:tableColumn id="2" name="Modulo"/>
    <x:tableColumn id="3" name="Caso UAT"/>
    <x:tableColumn id="4" name="Severidad"/>
    <x:tableColumn id="5" name="Descripcion"/>
    <x:tableColumn id="6" name="Pasos para reproducir"/>
    <x:tableColumn id="7" name="Resultado esperado"/>
    <x:tableColumn id="8" name="Estado"/>
    <x:tableColumn id="9" name="Responsable"/>
    <x:tableColumn id="10" name="Notas"/>
  </x:tableColumns>
  <x:tableStyleInfo name="TableStyleMedium2" showRowStripes="1"/>
</x:table>
</file>

<file path=xl/tables/table5.xml><?xml version="1.0" encoding="utf-8"?>
<x:table xmlns:x="http://schemas.openxmlformats.org/spreadsheetml/2006/main" id="5" name="UsuariosRolesUAT" displayName="UsuariosRolesUAT" ref="A1:E4" headerRowCount="1">
  <x:tableColumns count="5">
    <x:tableColumn id="1" name="Usuario"/>
    <x:tableColumn id="2" name="Rol"/>
    <x:tableColumn id="3" name="Acceso / modulos"/>
    <x:tableColumn id="4" name="Contrasena"/>
    <x:tableColumn id="5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e2017874d444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4db90f552149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86b9c7052748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066126303749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85d29dcef946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65" hidden="0" customWidth="1"/>
    <x:col min="4" max="4" width="23.75" hidden="0" customWidth="1"/>
    <x:col min="5" max="5" width="15" hidden="0" customWidth="1"/>
    <x:col min="6" max="6" width="13.75" hidden="0" customWidth="1"/>
    <x:col min="7" max="7" width="12.5" hidden="0" customWidth="1"/>
    <x:col min="8" max="8" width="40" hidden="0" customWidth="1"/>
  </x:cols>
  <x:sheetData>
    <x:row r="1" ht="25.5" customHeight="1">
      <x:c r="A1" s="17" t="str">
        <x:v>UAT - Rol Analista - Tablero Operativo</x:v>
      </x:c>
      <x:c r="B1" s="17" t="str"/>
      <x:c r="C1" s="17" t="str"/>
      <x:c r="D1" s="17" t="str"/>
      <x:c r="E1" s="17" t="str"/>
      <x:c r="F1" s="17" t="str"/>
      <x:c r="G1" s="17" t="str"/>
      <x:c r="H1" s="17" t="str"/>
    </x:row>
    <x:row r="2">
      <x:c r="A2" s="10"/>
      <x:c r="B2" s="10"/>
      <x:c r="C2" s="10"/>
      <x:c r="D2" s="10"/>
      <x:c r="E2" s="10"/>
      <x:c r="F2" s="10"/>
      <x:c r="G2" s="10"/>
      <x:c r="H2" s="10"/>
    </x:row>
    <x:row r="3">
      <x:c r="A3" s="9" t="str">
        <x:v>Intencion</x:v>
      </x:c>
      <x:c r="B3" s="10" t="str">
        <x:v>Validar que el rol Analista pueda usar los modulos de la primera liberacion en condiciones reales de operacion.</x:v>
      </x:c>
      <x:c r="C3" s="10"/>
      <x:c r="D3" s="18" t="str">
        <x:v>Indicador</x:v>
      </x:c>
      <x:c r="E3" s="18" t="str">
        <x:v>Meta</x:v>
      </x:c>
      <x:c r="F3" s="18" t="str">
        <x:v>Actual</x:v>
      </x:c>
      <x:c r="G3" s="18" t="str">
        <x:v>Semaforo</x:v>
      </x:c>
      <x:c r="H3" s="18" t="str">
        <x:v>Comentario</x:v>
      </x:c>
    </x:row>
    <x:row r="4">
      <x:c r="A4" s="9" t="str">
        <x:v>Rol objetivo</x:v>
      </x:c>
      <x:c r="B4" s="10" t="str">
        <x:v>Analista / Operativo</x:v>
      </x:c>
      <x:c r="C4" s="10"/>
      <x:c r="D4" s="10" t="str">
        <x:v>UAT total aprobado</x:v>
      </x:c>
      <x:c r="E4" s="10" t="str">
        <x:v>&gt;= 95%</x:v>
      </x:c>
      <x:c r="F4" s="15" t="n">
        <x:f>IFERROR(COUNTIF(UAT!K2:K200,"Aprobado")/COUNTA(UAT!A2:A200),0)</x:f>
        <x:v>0</x:v>
      </x:c>
      <x:c r="G4" s="10" t="str">
        <x:f>IF(F4&gt;=0.95,"Verde",IF(F4&gt;=0.85,"Amarillo","Rojo"))</x:f>
        <x:v>Rojo</x:v>
      </x:c>
      <x:c r="H4" s="10" t="str">
        <x:v>Casos aprobados sobre total ejecutable.</x:v>
      </x:c>
    </x:row>
    <x:row r="5">
      <x:c r="A5" s="9" t="str">
        <x:v>Alcance</x:v>
      </x:c>
      <x:c r="B5" s="10" t="str">
        <x:v>Dashboard, Kanban basico, Kanban avanzado, Academia, Disciplina, Perfil, Calendario, Notificaciones</x:v>
      </x:c>
      <x:c r="C5" s="10"/>
      <x:c r="D5" s="10" t="str">
        <x:v>Bloqueadores</x:v>
      </x:c>
      <x:c r="E5" s="10" t="str">
        <x:v>0</x:v>
      </x:c>
      <x:c r="F5" s="15" t="n">
        <x:f>COUNTIF(UAT!K2:K200,"Bloqueado")</x:f>
        <x:v>0</x:v>
      </x:c>
      <x:c r="G5" s="10" t="str">
        <x:f>IF(F5=0,"Verde",IF(F5&lt;=2,"Amarillo","Rojo"))</x:f>
        <x:v>Verde</x:v>
      </x:c>
      <x:c r="H5" s="10" t="str">
        <x:v>Casos sin poder ejecutarse.</x:v>
      </x:c>
    </x:row>
    <x:row r="6">
      <x:c r="A6" s="9" t="str">
        <x:v>Guia</x:v>
      </x:c>
      <x:c r="B6" s="10" t="str">
        <x:v>El Excel indica que probar, pasos esperados, resultado esperado y donde registrar estatus, evidencia e issues.</x:v>
      </x:c>
      <x:c r="C6" s="10"/>
      <x:c r="D6" s="10" t="str">
        <x:v>Criticos fallidos</x:v>
      </x:c>
      <x:c r="E6" s="10" t="str">
        <x:v>0</x:v>
      </x:c>
      <x:c r="F6" s="15" t="n">
        <x:f>COUNTIFS(UAT!J2:J200,"Critica",UAT!K2:K200,"Fallido")+COUNTIFS(UAT!J2:J200,"Critica",UAT!K2:K200,"Bloqueado")</x:f>
        <x:v>0</x:v>
      </x:c>
      <x:c r="G6" s="10" t="str">
        <x:f>IF(F6=0,"Verde","Rojo")</x:f>
        <x:v>Verde</x:v>
      </x:c>
      <x:c r="H6" s="10" t="str">
        <x:v>Cualquier critico abierto detiene salida.</x:v>
      </x:c>
    </x:row>
    <x:row r="7">
      <x:c r="A7" s="9" t="str">
        <x:v>Dinamica</x:v>
      </x:c>
      <x:c r="B7" s="10" t="str">
        <x:v>Sesiones practicas de 45 minutos: explicar modulo, ejecutar casos, resolver dudas y reportar hallazgos dentro del tablero.</x:v>
      </x:c>
      <x:c r="C7" s="10"/>
      <x:c r="D7" s="10" t="str">
        <x:v>Issues abiertos</x:v>
      </x:c>
      <x:c r="E7" s="10" t="str">
        <x:v>0</x:v>
      </x:c>
      <x:c r="F7" s="15" t="n">
        <x:f>COUNTIF(Issues!H2:H100,"Abierto")</x:f>
        <x:v>1</x:v>
      </x:c>
      <x:c r="G7" s="10" t="str">
        <x:f>IF(F7=0,"Verde",IF(F7&lt;=3,"Amarillo","Rojo"))</x:f>
        <x:v>Amarillo</x:v>
      </x:c>
      <x:c r="H7" s="10" t="str">
        <x:v>Issues reportados dentro del tablero.</x:v>
      </x:c>
    </x:row>
    <x:row r="8">
      <x:c r="A8" s="9" t="str">
        <x:v>Criterio de salida</x:v>
      </x:c>
      <x:c r="B8" s="10" t="str">
        <x:v>Sin bloqueadores criticos, casos clave aprobados y issues priorizados para cierre o seguimiento.</x:v>
      </x:c>
      <x:c r="C8" s="10"/>
      <x:c r="D8" s="10" t="str">
        <x:v>Aprobacion Dashboard</x:v>
      </x:c>
      <x:c r="E8" s="10" t="str">
        <x:v>&gt;= 95%</x:v>
      </x:c>
      <x:c r="F8" s="15" t="n">
        <x:f>IFERROR(COUNTIFS(UAT!B2:B200,"Dashboard",UAT!K2:K200,"Aprobado")/COUNTIF(UAT!B2:B200,"Dashboard"),0)</x:f>
        <x:v>0</x:v>
      </x:c>
      <x:c r="G8" s="10" t="str">
        <x:f>IF(F8&gt;=0.95,"Verde",IF(F8&gt;=0.85,"Amarillo","Rojo"))</x:f>
        <x:v>Rojo</x:v>
      </x:c>
      <x:c r="H8" s="10" t="str">
        <x:v>Cobertura del modulo Dashboard.</x:v>
      </x:c>
    </x:row>
    <x:row r="9">
      <x:c r="A9" s="9" t="str">
        <x:v>Resultado esperado</x:v>
      </x:c>
      <x:c r="B9" s="10" t="str">
        <x:v>Modulo validado para uso diario o ajustes claros antes de liberar.</x:v>
      </x:c>
      <x:c r="C9" s="10"/>
      <x:c r="D9" s="10" t="str">
        <x:v>Aprobacion Kanban basico</x:v>
      </x:c>
      <x:c r="E9" s="10" t="str">
        <x:v>&gt;= 95%</x:v>
      </x:c>
      <x:c r="F9" s="15" t="n">
        <x:f>IFERROR(COUNTIFS(UAT!B2:B200,"Kanban basico",UAT!K2:K200,"Aprobado")/COUNTIF(UAT!B2:B200,"Kanban basico"),0)</x:f>
        <x:v>0</x:v>
      </x:c>
      <x:c r="G9" s="10" t="str">
        <x:f>IF(F9&gt;=0.95,"Verde",IF(F9&gt;=0.85,"Amarillo","Rojo"))</x:f>
        <x:v>Rojo</x:v>
      </x:c>
      <x:c r="H9" s="10" t="str">
        <x:v>Cobertura del modulo Kanban basico.</x:v>
      </x:c>
    </x:row>
    <x:row r="10">
      <x:c r="A10" s="9" t="str">
        <x:v>Fecha</x:v>
      </x:c>
      <x:c r="B10" s="11" t="n">
        <x:v>46178.958013958334</x:v>
      </x:c>
      <x:c r="C10" s="10"/>
      <x:c r="D10" s="10" t="str">
        <x:v>Aprobacion Kanban avanzado</x:v>
      </x:c>
      <x:c r="E10" s="10" t="str">
        <x:v>&gt;= 95%</x:v>
      </x:c>
      <x:c r="F10" s="15" t="n">
        <x:f>IFERROR(COUNTIFS(UAT!B2:B200,"Kanban avanzado",UAT!K2:K200,"Aprobado")/COUNTIF(UAT!B2:B200,"Kanban avanzado"),0)</x:f>
        <x:v>0</x:v>
      </x:c>
      <x:c r="G10" s="10" t="str">
        <x:f>IF(F10&gt;=0.95,"Verde",IF(F10&gt;=0.85,"Amarillo","Rojo"))</x:f>
        <x:v>Rojo</x:v>
      </x:c>
      <x:c r="H10" s="10" t="str">
        <x:v>Cobertura del modulo Kanban avanzado.</x:v>
      </x:c>
    </x:row>
    <x:row r="11">
      <x:c r="A11" s="10"/>
      <x:c r="B11" s="10"/>
      <x:c r="C11" s="10"/>
      <x:c r="D11" s="10" t="str">
        <x:v>Aprobacion Academia</x:v>
      </x:c>
      <x:c r="E11" s="10" t="str">
        <x:v>&gt;= 95%</x:v>
      </x:c>
      <x:c r="F11" s="15" t="n">
        <x:f>IFERROR(COUNTIFS(UAT!B2:B200,"Academia",UAT!K2:K200,"Aprobado")/COUNTIF(UAT!B2:B200,"Academia"),0)</x:f>
        <x:v>0</x:v>
      </x:c>
      <x:c r="G11" s="10" t="str">
        <x:f>IF(F11&gt;=0.95,"Verde",IF(F11&gt;=0.85,"Amarillo","Rojo"))</x:f>
        <x:v>Rojo</x:v>
      </x:c>
      <x:c r="H11" s="10" t="str">
        <x:v>Cobertura del modulo Academia.</x:v>
      </x:c>
    </x:row>
    <x:row r="12">
      <x:c r="A12" s="10"/>
      <x:c r="B12" s="10"/>
      <x:c r="C12" s="10"/>
      <x:c r="D12" s="10" t="str">
        <x:v>Aprobacion Disciplina</x:v>
      </x:c>
      <x:c r="E12" s="10" t="str">
        <x:v>&gt;= 95%</x:v>
      </x:c>
      <x:c r="F12" s="15" t="n">
        <x:f>IFERROR(COUNTIFS(UAT!B2:B200,"Disciplina",UAT!K2:K200,"Aprobado")/COUNTIF(UAT!B2:B200,"Disciplina"),0)</x:f>
        <x:v>0</x:v>
      </x:c>
      <x:c r="G12" s="10" t="str">
        <x:f>IF(F12&gt;=0.95,"Verde",IF(F12&gt;=0.85,"Amarillo","Rojo"))</x:f>
        <x:v>Rojo</x:v>
      </x:c>
      <x:c r="H12" s="10" t="str">
        <x:v>Cobertura del modulo Disciplina.</x:v>
      </x:c>
    </x:row>
    <x:row r="13">
      <x:c r="A13" s="10"/>
      <x:c r="B13" s="10"/>
      <x:c r="C13" s="10"/>
      <x:c r="D13" s="10" t="str">
        <x:v>Aprobacion Perfil</x:v>
      </x:c>
      <x:c r="E13" s="10" t="str">
        <x:v>&gt;= 95%</x:v>
      </x:c>
      <x:c r="F13" s="15" t="n">
        <x:f>IFERROR(COUNTIFS(UAT!B2:B200,"Perfil",UAT!K2:K200,"Aprobado")/COUNTIF(UAT!B2:B200,"Perfil"),0)</x:f>
        <x:v>0</x:v>
      </x:c>
      <x:c r="G13" s="10" t="str">
        <x:f>IF(F13&gt;=0.95,"Verde",IF(F13&gt;=0.85,"Amarillo","Rojo"))</x:f>
        <x:v>Rojo</x:v>
      </x:c>
      <x:c r="H13" s="10" t="str">
        <x:v>Cobertura del modulo Perfil.</x:v>
      </x:c>
    </x:row>
    <x:row r="14">
      <x:c r="A14" s="10"/>
      <x:c r="B14" s="10"/>
      <x:c r="C14" s="10"/>
      <x:c r="D14" s="10" t="str">
        <x:v>Aprobacion Calendario</x:v>
      </x:c>
      <x:c r="E14" s="10" t="str">
        <x:v>&gt;= 95%</x:v>
      </x:c>
      <x:c r="F14" s="15" t="n">
        <x:f>IFERROR(COUNTIFS(UAT!B2:B200,"Calendario",UAT!K2:K200,"Aprobado")/COUNTIF(UAT!B2:B200,"Calendario"),0)</x:f>
        <x:v>0</x:v>
      </x:c>
      <x:c r="G14" s="10" t="str">
        <x:f>IF(F14&gt;=0.95,"Verde",IF(F14&gt;=0.85,"Amarillo","Rojo"))</x:f>
        <x:v>Rojo</x:v>
      </x:c>
      <x:c r="H14" s="10" t="str">
        <x:v>Cobertura del modulo Calendario.</x:v>
      </x:c>
    </x:row>
    <x:row r="15">
      <x:c r="A15" s="10"/>
      <x:c r="B15" s="10"/>
      <x:c r="C15" s="10"/>
      <x:c r="D15" s="10" t="str">
        <x:v>Aprobacion Notificaciones</x:v>
      </x:c>
      <x:c r="E15" s="10" t="str">
        <x:v>&gt;= 95%</x:v>
      </x:c>
      <x:c r="F15" s="15" t="n">
        <x:f>IFERROR(COUNTIFS(UAT!B2:B200,"Notificaciones",UAT!K2:K200,"Aprobado")/COUNTIF(UAT!B2:B200,"Notificaciones"),0)</x:f>
        <x:v>0</x:v>
      </x:c>
      <x:c r="G15" s="10" t="str">
        <x:f>IF(F15&gt;=0.95,"Verde",IF(F15&gt;=0.85,"Amarillo","Rojo"))</x:f>
        <x:v>Rojo</x:v>
      </x:c>
      <x:c r="H15" s="10" t="str">
        <x:v>Cobertura del modulo Notificaciones.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0.630000114440918" hidden="0" customWidth="1"/>
    <x:col min="3" max="3" width="31.25" hidden="0" customWidth="1"/>
    <x:col min="4" max="4" width="38.75" hidden="0" customWidth="1"/>
    <x:col min="5" max="5" width="52.5" hidden="0" customWidth="1"/>
    <x:col min="6" max="6" width="16.25" hidden="0" customWidth="1"/>
  </x:cols>
  <x:sheetData>
    <x:row r="1">
      <x:c r="A1" s="18" t="str">
        <x:v>Sesion</x:v>
      </x:c>
      <x:c r="B1" s="18" t="str">
        <x:v>Duracion</x:v>
      </x:c>
      <x:c r="C1" s="18" t="str">
        <x:v>Modulos</x:v>
      </x:c>
      <x:c r="D1" s="18" t="str">
        <x:v>Casos</x:v>
      </x:c>
      <x:c r="E1" s="18" t="str">
        <x:v>Objetivo</x:v>
      </x:c>
      <x:c r="F1" s="18" t="str">
        <x:v>Estado</x:v>
      </x:c>
    </x:row>
    <x:row r="2">
      <x:c r="A2" s="10" t="str">
        <x:v>Sesion 1</x:v>
      </x:c>
      <x:c r="B2" s="10" t="str">
        <x:v>45 min</x:v>
      </x:c>
      <x:c r="C2" s="10" t="str">
        <x:v>Dashboard + Kanban basico</x:v>
      </x:c>
      <x:c r="D2" s="10" t="str">
        <x:v>UAT-DASH-01 al 10; UAT-KAN-01 al 08</x:v>
      </x:c>
      <x:c r="E2" s="10" t="str">
        <x:v>Validar entrada operativa, filtros y flujo base de acciones.</x:v>
      </x:c>
      <x:c r="F2" s="10" t="str">
        <x:v>Pendiente</x:v>
      </x:c>
    </x:row>
    <x:row r="3">
      <x:c r="A3" s="10" t="str">
        <x:v>Sesion 2</x:v>
      </x:c>
      <x:c r="B3" s="10" t="str">
        <x:v>45 min</x:v>
      </x:c>
      <x:c r="C3" s="10" t="str">
        <x:v>Kanban avanzado</x:v>
      </x:c>
      <x:c r="D3" s="10" t="str">
        <x:v>UAT-KAN-09 al 11; casos borde Kanban</x:v>
      </x:c>
      <x:c r="E3" s="10" t="str">
        <x:v>Validar vistas, filtros avanzados, estados y casos borde.</x:v>
      </x:c>
      <x:c r="F3" s="10" t="str">
        <x:v>Pendiente</x:v>
      </x:c>
    </x:row>
    <x:row r="4">
      <x:c r="A4" s="10" t="str">
        <x:v>Sesion 3</x:v>
      </x:c>
      <x:c r="B4" s="10" t="str">
        <x:v>45 min</x:v>
      </x:c>
      <x:c r="C4" s="10" t="str">
        <x:v>Academia + Disciplina + Perfil</x:v>
      </x:c>
      <x:c r="D4" s="10" t="str">
        <x:v>Todos los casos de estos modulos</x:v>
      </x:c>
      <x:c r="E4" s="10" t="str">
        <x:v>Validar experiencia personal del Analista.</x:v>
      </x:c>
      <x:c r="F4" s="10" t="str">
        <x:v>Pendiente</x:v>
      </x:c>
    </x:row>
    <x:row r="5">
      <x:c r="A5" s="10" t="str">
        <x:v>Sesion 4</x:v>
      </x:c>
      <x:c r="B5" s="10" t="str">
        <x:v>45 min</x:v>
      </x:c>
      <x:c r="C5" s="10" t="str">
        <x:v>Calendario + Notificaciones</x:v>
      </x:c>
      <x:c r="D5" s="10" t="str">
        <x:v>Todos los casos de estos modulos</x:v>
      </x:c>
      <x:c r="E5" s="10" t="str">
        <x:v>Validar seguimiento temporal y avisos.</x:v>
      </x:c>
      <x:c r="F5" s="10" t="str">
        <x:v>Pendiente</x:v>
      </x:c>
    </x:row>
    <x:row r="6">
      <x:c r="A6" s="10" t="str">
        <x:v>Sesion 5</x:v>
      </x:c>
      <x:c r="B6" s="10" t="str">
        <x:v>45 min</x:v>
      </x:c>
      <x:c r="C6" s="10" t="str">
        <x:v>Casos borde</x:v>
      </x:c>
      <x:c r="D6" s="10" t="str">
        <x:v>Todos los UAT-XXX-EON pendientes</x:v>
      </x:c>
      <x:c r="E6" s="10" t="str">
        <x:v>Cerrar pendientes, errores, permisos y escenarios no cubiertos.</x:v>
      </x:c>
      <x:c r="F6" s="10" t="str">
        <x:v>Pendiente</x:v>
      </x:c>
    </x:row>
  </x:sheetData>
  <x:dataValidations count="1">
    <x:dataValidation type="list" sqref="F2:F100">
      <x:formula1>"Pendiente,Programada,Completada,Reprogramada"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e2017874d444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.75" hidden="0" customWidth="1"/>
    <x:col min="3" max="3" width="12.5" hidden="0" customWidth="1"/>
    <x:col min="4" max="4" width="32.5" hidden="0" customWidth="1"/>
    <x:col min="5" max="5" width="30" hidden="0" customWidth="1"/>
    <x:col min="6" max="6" width="45" hidden="0" customWidth="1"/>
    <x:col min="7" max="7" width="45" hidden="0" customWidth="1"/>
    <x:col min="8" max="8" width="23.75" hidden="0" customWidth="1"/>
    <x:col min="9" max="9" width="18.75" hidden="0" customWidth="1"/>
    <x:col min="10" max="10" width="11.880000114440918" hidden="0" customWidth="1"/>
    <x:col min="11" max="11" width="14.380000114440918" hidden="0" customWidth="1"/>
    <x:col min="12" max="12" width="26.25" hidden="0" customWidth="1"/>
    <x:col min="13" max="13" width="20" hidden="0" customWidth="1"/>
    <x:col min="14" max="14" width="36.25" hidden="0" customWidth="1"/>
  </x:cols>
  <x:sheetData>
    <x:row r="1">
      <x:c r="A1" s="18" t="str">
        <x:v>ID</x:v>
      </x:c>
      <x:c r="B1" s="18" t="str">
        <x:v>Modulo</x:v>
      </x:c>
      <x:c r="C1" s="18" t="str">
        <x:v>Tipo</x:v>
      </x:c>
      <x:c r="D1" s="18" t="str">
        <x:v>Caso de prueba</x:v>
      </x:c>
      <x:c r="E1" s="18" t="str">
        <x:v>Precondicion</x:v>
      </x:c>
      <x:c r="F1" s="18" t="str">
        <x:v>Pasos</x:v>
      </x:c>
      <x:c r="G1" s="18" t="str">
        <x:v>Resultado esperado</x:v>
      </x:c>
      <x:c r="H1" s="18" t="str">
        <x:v>Datos de prueba</x:v>
      </x:c>
      <x:c r="I1" s="18" t="str">
        <x:v>Responsable</x:v>
      </x:c>
      <x:c r="J1" s="18" t="str">
        <x:v>Severidad</x:v>
      </x:c>
      <x:c r="K1" s="18" t="str">
        <x:v>Resultado</x:v>
      </x:c>
      <x:c r="L1" s="18" t="str">
        <x:v>Evidencia / liga</x:v>
      </x:c>
      <x:c r="M1" s="18" t="str">
        <x:v>Issue relacionado</x:v>
      </x:c>
      <x:c r="N1" s="18" t="str">
        <x:v>Observaciones</x:v>
      </x:c>
    </x:row>
    <x:row r="2">
      <x:c r="A2" s="10" t="str">
        <x:v>UAT-DASH-01</x:v>
      </x:c>
      <x:c r="B2" s="10" t="str">
        <x:v>Dashboard</x:v>
      </x:c>
      <x:c r="C2" s="10" t="str">
        <x:v>Funcional</x:v>
      </x:c>
      <x:c r="D2" s="10" t="str">
        <x:v>Acceso al dashboard</x:v>
      </x:c>
      <x:c r="E2" s="10" t="str">
        <x:v>Usuario Analista activo.</x:v>
      </x:c>
      <x:c r="F2" s="10" t="str">
        <x:v>1) Iniciar sesion. 2) Abrir /dashboard.</x:v>
      </x:c>
      <x:c r="G2" s="10" t="str">
        <x:v>Carga Vision general / Tablero operativo sin error.</x:v>
      </x:c>
      <x:c r="H2" s="10" t="str">
        <x:v>Usuario Analista</x:v>
      </x:c>
      <x:c r="I2" s="10" t="str">
        <x:v>Analista piloto</x:v>
      </x:c>
      <x:c r="J2" s="10" t="str">
        <x:v>Critica</x:v>
      </x:c>
      <x:c r="K2" s="10" t="str">
        <x:v>Pendiente</x:v>
      </x:c>
      <x:c r="L2" s="10" t="str"/>
      <x:c r="M2" s="10" t="str"/>
      <x:c r="N2" s="10" t="str"/>
    </x:row>
    <x:row r="3">
      <x:c r="A3" s="10" t="str">
        <x:v>UAT-DASH-02</x:v>
      </x:c>
      <x:c r="B3" s="10" t="str">
        <x:v>Dashboard</x:v>
      </x:c>
      <x:c r="C3" s="10" t="str">
        <x:v>Permisos</x:v>
      </x:c>
      <x:c r="D3" s="10" t="str">
        <x:v>Vista sin elementos ejecutivos restringidos</x:v>
      </x:c>
      <x:c r="E3" s="10" t="str">
        <x:v>Sesion Analista en dashboard.</x:v>
      </x:c>
      <x:c r="F3" s="10" t="str">
        <x:v>1) Revisar header. 2) Buscar exportar, score O2C ejecutivo y matriz de impacto.</x:v>
      </x:c>
      <x:c r="G3" s="10" t="str">
        <x:v>No aparecen elementos restringidos para Analista.</x:v>
      </x:c>
      <x:c r="H3" s="10" t="str">
        <x:v>Usuario Analista</x:v>
      </x:c>
      <x:c r="I3" s="10" t="str">
        <x:v>Scrum Master</x:v>
      </x:c>
      <x:c r="J3" s="10" t="str">
        <x:v>Critica</x:v>
      </x:c>
      <x:c r="K3" s="10" t="str">
        <x:v>Pendiente</x:v>
      </x:c>
      <x:c r="L3" s="10" t="str"/>
      <x:c r="M3" s="10" t="str"/>
      <x:c r="N3" s="10" t="str"/>
    </x:row>
    <x:row r="4">
      <x:c r="A4" s="10" t="str">
        <x:v>UAT-DASH-03</x:v>
      </x:c>
      <x:c r="B4" s="10" t="str">
        <x:v>Dashboard</x:v>
      </x:c>
      <x:c r="C4" s="10" t="str">
        <x:v>Funcional</x:v>
      </x:c>
      <x:c r="D4" s="10" t="str">
        <x:v>Resumen de acciones visible</x:v>
      </x:c>
      <x:c r="E4" s="10" t="str">
        <x:v>Existen acciones de prueba.</x:v>
      </x:c>
      <x:c r="F4" s="10" t="str">
        <x:v>1) Abrir dashboard. 2) Revisar Resumen de acciones.</x:v>
      </x:c>
      <x:c r="G4" s="10" t="str">
        <x:v>Los conteos y tarjetas cargan sin NaN ni valores rotos.</x:v>
      </x:c>
      <x:c r="H4" s="10" t="str">
        <x:v>Acciones variadas</x:v>
      </x:c>
      <x:c r="I4" s="10" t="str">
        <x:v>Analista piloto</x:v>
      </x:c>
      <x:c r="J4" s="10" t="str">
        <x:v>Alta</x:v>
      </x:c>
      <x:c r="K4" s="10" t="str">
        <x:v>Pendiente</x:v>
      </x:c>
      <x:c r="L4" s="10" t="str"/>
      <x:c r="M4" s="10" t="str"/>
      <x:c r="N4" s="10" t="str"/>
    </x:row>
    <x:row r="5">
      <x:c r="A5" s="10" t="str">
        <x:v>UAT-DASH-04</x:v>
      </x:c>
      <x:c r="B5" s="10" t="str">
        <x:v>Dashboard</x:v>
      </x:c>
      <x:c r="C5" s="10" t="str">
        <x:v>Funcional</x:v>
      </x:c>
      <x:c r="D5" s="10" t="str">
        <x:v>Filtro por busqueda</x:v>
      </x:c>
      <x:c r="E5" s="10" t="str">
        <x:v>Acciones con titulos distintos.</x:v>
      </x:c>
      <x:c r="F5" s="10" t="str">
        <x:v>1) Escribir texto en busqueda. 2) Revisar resultados.</x:v>
      </x:c>
      <x:c r="G5" s="10" t="str">
        <x:v>Solo aparecen acciones relacionadas con el texto.</x:v>
      </x:c>
      <x:c r="H5" s="10" t="str">
        <x:v>Buscar: reporte</x:v>
      </x:c>
      <x:c r="I5" s="10" t="str">
        <x:v>Analista piloto</x:v>
      </x:c>
      <x:c r="J5" s="10" t="str">
        <x:v>Alta</x:v>
      </x:c>
      <x:c r="K5" s="10" t="str">
        <x:v>Pendiente</x:v>
      </x:c>
      <x:c r="L5" s="10" t="str"/>
      <x:c r="M5" s="10" t="str"/>
      <x:c r="N5" s="10" t="str"/>
    </x:row>
    <x:row r="6">
      <x:c r="A6" s="10" t="str">
        <x:v>UAT-DASH-05</x:v>
      </x:c>
      <x:c r="B6" s="10" t="str">
        <x:v>Dashboard</x:v>
      </x:c>
      <x:c r="C6" s="10" t="str">
        <x:v>Funcional</x:v>
      </x:c>
      <x:c r="D6" s="10" t="str">
        <x:v>Filtro por fecha</x:v>
      </x:c>
      <x:c r="E6" s="10" t="str">
        <x:v>Acciones con fechas distintas.</x:v>
      </x:c>
      <x:c r="F6" s="10" t="str">
        <x:v>1) Aplicar fecha desde/hasta. 2) Revisar resumen.</x:v>
      </x:c>
      <x:c r="G6" s="10" t="str">
        <x:v>La vista muestra acciones dentro del rango.</x:v>
      </x:c>
      <x:c r="H6" s="10" t="str">
        <x:v>Rango semanal</x:v>
      </x:c>
      <x:c r="I6" s="10" t="str">
        <x:v>Analista piloto</x:v>
      </x:c>
      <x:c r="J6" s="10" t="str">
        <x:v>Alta</x:v>
      </x:c>
      <x:c r="K6" s="10" t="str">
        <x:v>Pendiente</x:v>
      </x:c>
      <x:c r="L6" s="10" t="str"/>
      <x:c r="M6" s="10" t="str"/>
      <x:c r="N6" s="10" t="str"/>
    </x:row>
    <x:row r="7">
      <x:c r="A7" s="10" t="str">
        <x:v>UAT-DASH-06</x:v>
      </x:c>
      <x:c r="B7" s="10" t="str">
        <x:v>Dashboard</x:v>
      </x:c>
      <x:c r="C7" s="10" t="str">
        <x:v>Funcional</x:v>
      </x:c>
      <x:c r="D7" s="10" t="str">
        <x:v>Filtros avanzados</x:v>
      </x:c>
      <x:c r="E7" s="10" t="str">
        <x:v>Catalogos activos.</x:v>
      </x:c>
      <x:c r="F7" s="10" t="str">
        <x:v>1) Abrir mas filtros. 2) Filtrar por estado, prioridad, area y responsable.</x:v>
      </x:c>
      <x:c r="G7" s="10" t="str">
        <x:v>Los filtros reducen resultados correctamente.</x:v>
      </x:c>
      <x:c r="H7" s="10" t="str">
        <x:v>Estados y prioridades</x:v>
      </x:c>
      <x:c r="I7" s="10" t="str">
        <x:v>Analista piloto</x:v>
      </x:c>
      <x:c r="J7" s="10" t="str">
        <x:v>Alta</x:v>
      </x:c>
      <x:c r="K7" s="10" t="str">
        <x:v>Pendiente</x:v>
      </x:c>
      <x:c r="L7" s="10" t="str"/>
      <x:c r="M7" s="10" t="str"/>
      <x:c r="N7" s="10" t="str"/>
    </x:row>
    <x:row r="8">
      <x:c r="A8" s="10" t="str">
        <x:v>UAT-DASH-07</x:v>
      </x:c>
      <x:c r="B8" s="10" t="str">
        <x:v>Dashboard</x:v>
      </x:c>
      <x:c r="C8" s="10" t="str">
        <x:v>Funcional</x:v>
      </x:c>
      <x:c r="D8" s="10" t="str">
        <x:v>Limpiar filtros</x:v>
      </x:c>
      <x:c r="E8" s="10" t="str">
        <x:v>Filtros aplicados.</x:v>
      </x:c>
      <x:c r="F8" s="10" t="str">
        <x:v>1) Clic limpiar filtros.</x:v>
      </x:c>
      <x:c r="G8" s="10" t="str">
        <x:v>La vista vuelve al estado inicial.</x:v>
      </x:c>
      <x:c r="H8" s="10" t="str">
        <x:v>Filtros activos</x:v>
      </x:c>
      <x:c r="I8" s="10" t="str">
        <x:v>Analista piloto</x:v>
      </x:c>
      <x:c r="J8" s="10" t="str">
        <x:v>Media</x:v>
      </x:c>
      <x:c r="K8" s="10" t="str">
        <x:v>Pendiente</x:v>
      </x:c>
      <x:c r="L8" s="10" t="str"/>
      <x:c r="M8" s="10" t="str"/>
      <x:c r="N8" s="10" t="str"/>
    </x:row>
    <x:row r="9">
      <x:c r="A9" s="10" t="str">
        <x:v>UAT-DASH-08</x:v>
      </x:c>
      <x:c r="B9" s="10" t="str">
        <x:v>Dashboard</x:v>
      </x:c>
      <x:c r="C9" s="10" t="str">
        <x:v>Funcional</x:v>
      </x:c>
      <x:c r="D9" s="10" t="str">
        <x:v>Abrir accion desde dashboard</x:v>
      </x:c>
      <x:c r="E9" s="10" t="str">
        <x:v>Accion visible.</x:v>
      </x:c>
      <x:c r="F9" s="10" t="str">
        <x:v>1) Seleccionar accion. 2) Revisar detalle. 3) Cerrar.</x:v>
      </x:c>
      <x:c r="G9" s="10" t="str">
        <x:v>El detalle abre con datos correctos y cierra sin cambios.</x:v>
      </x:c>
      <x:c r="H9" s="10" t="str">
        <x:v>Accion existente</x:v>
      </x:c>
      <x:c r="I9" s="10" t="str">
        <x:v>Analista piloto</x:v>
      </x:c>
      <x:c r="J9" s="10" t="str">
        <x:v>Alta</x:v>
      </x:c>
      <x:c r="K9" s="10" t="str">
        <x:v>Pendiente</x:v>
      </x:c>
      <x:c r="L9" s="10" t="str"/>
      <x:c r="M9" s="10" t="str"/>
      <x:c r="N9" s="10" t="str"/>
    </x:row>
    <x:row r="10">
      <x:c r="A10" s="10" t="str">
        <x:v>UAT-DASH-09</x:v>
      </x:c>
      <x:c r="B10" s="10" t="str">
        <x:v>Dashboard</x:v>
      </x:c>
      <x:c r="C10" s="10" t="str">
        <x:v>Funcional</x:v>
      </x:c>
      <x:c r="D10" s="10" t="str">
        <x:v>Crear accion desde dashboard</x:v>
      </x:c>
      <x:c r="E10" s="10" t="str">
        <x:v>Dashboard abierto.</x:v>
      </x:c>
      <x:c r="F10" s="10" t="str">
        <x:v>1) Clic Crear accion. 2) Capturar campos minimos. 3) Guardar.</x:v>
      </x:c>
      <x:c r="G10" s="10" t="str">
        <x:v>La accion se crea y aparece en el resumen.</x:v>
      </x:c>
      <x:c r="H10" s="10" t="str">
        <x:v>Accion nueva</x:v>
      </x:c>
      <x:c r="I10" s="10" t="str">
        <x:v>Analista piloto</x:v>
      </x:c>
      <x:c r="J10" s="10" t="str">
        <x:v>Critica</x:v>
      </x:c>
      <x:c r="K10" s="10" t="str">
        <x:v>Pendiente</x:v>
      </x:c>
      <x:c r="L10" s="10" t="str"/>
      <x:c r="M10" s="10" t="str"/>
      <x:c r="N10" s="10" t="str"/>
    </x:row>
    <x:row r="11">
      <x:c r="A11" s="10" t="str">
        <x:v>UAT-DASH-10</x:v>
      </x:c>
      <x:c r="B11" s="10" t="str">
        <x:v>Dashboard</x:v>
      </x:c>
      <x:c r="C11" s="10" t="str">
        <x:v>Borde</x:v>
      </x:c>
      <x:c r="D11" s="10" t="str">
        <x:v>Fecha sin acciones</x:v>
      </x:c>
      <x:c r="E11" s="10" t="str">
        <x:v>Fecha sin registros.</x:v>
      </x:c>
      <x:c r="F11" s="10" t="str">
        <x:v>1) Seleccionar fecha sin acciones.</x:v>
      </x:c>
      <x:c r="G11" s="10" t="str">
        <x:v>Se muestra empty state claro, sin pantalla rota.</x:v>
      </x:c>
      <x:c r="H11" s="10" t="str">
        <x:v>Fecha futura</x:v>
      </x:c>
      <x:c r="I11" s="10" t="str">
        <x:v>Analista piloto</x:v>
      </x:c>
      <x:c r="J11" s="10" t="str">
        <x:v>Media</x:v>
      </x:c>
      <x:c r="K11" s="10" t="str">
        <x:v>Pendiente</x:v>
      </x:c>
      <x:c r="L11" s="10" t="str"/>
      <x:c r="M11" s="10" t="str"/>
      <x:c r="N11" s="10" t="str"/>
    </x:row>
    <x:row r="12">
      <x:c r="A12" s="10" t="str">
        <x:v>UAT-KAN-01</x:v>
      </x:c>
      <x:c r="B12" s="10" t="str">
        <x:v>Kanban basico</x:v>
      </x:c>
      <x:c r="C12" s="10" t="str">
        <x:v>Funcional</x:v>
      </x:c>
      <x:c r="D12" s="10" t="str">
        <x:v>Carga de Kanban</x:v>
      </x:c>
      <x:c r="E12" s="10" t="str">
        <x:v>Usuario Analista activo.</x:v>
      </x:c>
      <x:c r="F12" s="10" t="str">
        <x:v>1) Abrir /kanban.</x:v>
      </x:c>
      <x:c r="G12" s="10" t="str">
        <x:v>El tablero carga columnas y acciones sin error.</x:v>
      </x:c>
      <x:c r="H12" s="10" t="str">
        <x:v>Acciones de prueba</x:v>
      </x:c>
      <x:c r="I12" s="10" t="str">
        <x:v>Analista piloto</x:v>
      </x:c>
      <x:c r="J12" s="10" t="str">
        <x:v>Critica</x:v>
      </x:c>
      <x:c r="K12" s="10" t="str">
        <x:v>Pendiente</x:v>
      </x:c>
      <x:c r="L12" s="10" t="str"/>
      <x:c r="M12" s="10" t="str"/>
      <x:c r="N12" s="10" t="str"/>
    </x:row>
    <x:row r="13">
      <x:c r="A13" s="10" t="str">
        <x:v>UAT-KAN-02</x:v>
      </x:c>
      <x:c r="B13" s="10" t="str">
        <x:v>Kanban basico</x:v>
      </x:c>
      <x:c r="C13" s="10" t="str">
        <x:v>Funcional</x:v>
      </x:c>
      <x:c r="D13" s="10" t="str">
        <x:v>Crear accion</x:v>
      </x:c>
      <x:c r="E13" s="10" t="str">
        <x:v>Catalogos activos.</x:v>
      </x:c>
      <x:c r="F13" s="10" t="str">
        <x:v>1) Clic nueva accion. 2) Capturar titulo, responsable, fecha, prioridad y area. 3) Guardar.</x:v>
      </x:c>
      <x:c r="G13" s="10" t="str">
        <x:v>La accion aparece en el Kanban.</x:v>
      </x:c>
      <x:c r="H13" s="10" t="str">
        <x:v>Accion RUN</x:v>
      </x:c>
      <x:c r="I13" s="10" t="str">
        <x:v>Analista piloto</x:v>
      </x:c>
      <x:c r="J13" s="10" t="str">
        <x:v>Critica</x:v>
      </x:c>
      <x:c r="K13" s="10" t="str">
        <x:v>Pendiente</x:v>
      </x:c>
      <x:c r="L13" s="10" t="str"/>
      <x:c r="M13" s="10" t="str"/>
      <x:c r="N13" s="10" t="str"/>
    </x:row>
    <x:row r="14">
      <x:c r="A14" s="10" t="str">
        <x:v>UAT-KAN-03</x:v>
      </x:c>
      <x:c r="B14" s="10" t="str">
        <x:v>Kanban basico</x:v>
      </x:c>
      <x:c r="C14" s="10" t="str">
        <x:v>Funcional</x:v>
      </x:c>
      <x:c r="D14" s="10" t="str">
        <x:v>Editar accion</x:v>
      </x:c>
      <x:c r="E14" s="10" t="str">
        <x:v>Accion existente.</x:v>
      </x:c>
      <x:c r="F14" s="10" t="str">
        <x:v>1) Abrir accion. 2) Editar prioridad/responsable. 3) Guardar.</x:v>
      </x:c>
      <x:c r="G14" s="10" t="str">
        <x:v>Los cambios persisten al recargar.</x:v>
      </x:c>
      <x:c r="H14" s="10" t="str">
        <x:v>Accion existente</x:v>
      </x:c>
      <x:c r="I14" s="10" t="str">
        <x:v>Analista piloto</x:v>
      </x:c>
      <x:c r="J14" s="10" t="str">
        <x:v>Critica</x:v>
      </x:c>
      <x:c r="K14" s="10" t="str">
        <x:v>Pendiente</x:v>
      </x:c>
      <x:c r="L14" s="10" t="str"/>
      <x:c r="M14" s="10" t="str"/>
      <x:c r="N14" s="10" t="str"/>
    </x:row>
    <x:row r="15">
      <x:c r="A15" s="10" t="str">
        <x:v>UAT-KAN-04</x:v>
      </x:c>
      <x:c r="B15" s="10" t="str">
        <x:v>Kanban basico</x:v>
      </x:c>
      <x:c r="C15" s="10" t="str">
        <x:v>Funcional</x:v>
      </x:c>
      <x:c r="D15" s="10" t="str">
        <x:v>Mover accion de estado</x:v>
      </x:c>
      <x:c r="E15" s="10" t="str">
        <x:v>Accion pendiente.</x:v>
      </x:c>
      <x:c r="F15" s="10" t="str">
        <x:v>1) Cambiar estado permitido.</x:v>
      </x:c>
      <x:c r="G15" s="10" t="str">
        <x:v>La accion se mueve a la columna correcta.</x:v>
      </x:c>
      <x:c r="H15" s="10" t="str">
        <x:v>Accion pendiente</x:v>
      </x:c>
      <x:c r="I15" s="10" t="str">
        <x:v>Analista piloto</x:v>
      </x:c>
      <x:c r="J15" s="10" t="str">
        <x:v>Alta</x:v>
      </x:c>
      <x:c r="K15" s="10" t="str">
        <x:v>Pendiente</x:v>
      </x:c>
      <x:c r="L15" s="10" t="str"/>
      <x:c r="M15" s="10" t="str"/>
      <x:c r="N15" s="10" t="str"/>
    </x:row>
    <x:row r="16">
      <x:c r="A16" s="10" t="str">
        <x:v>UAT-KAN-05</x:v>
      </x:c>
      <x:c r="B16" s="10" t="str">
        <x:v>Kanban basico</x:v>
      </x:c>
      <x:c r="C16" s="10" t="str">
        <x:v>Funcional</x:v>
      </x:c>
      <x:c r="D16" s="10" t="str">
        <x:v>Abrir detalle desde card</x:v>
      </x:c>
      <x:c r="E16" s="10" t="str">
        <x:v>Card visible.</x:v>
      </x:c>
      <x:c r="F16" s="10" t="str">
        <x:v>1) Clic en card.</x:v>
      </x:c>
      <x:c r="G16" s="10" t="str">
        <x:v>El modal abre con informacion completa.</x:v>
      </x:c>
      <x:c r="H16" s="10" t="str">
        <x:v>Card visible</x:v>
      </x:c>
      <x:c r="I16" s="10" t="str">
        <x:v>Analista piloto</x:v>
      </x:c>
      <x:c r="J16" s="10" t="str">
        <x:v>Alta</x:v>
      </x:c>
      <x:c r="K16" s="10" t="str">
        <x:v>Pendiente</x:v>
      </x:c>
      <x:c r="L16" s="10" t="str"/>
      <x:c r="M16" s="10" t="str"/>
      <x:c r="N16" s="10" t="str"/>
    </x:row>
    <x:row r="17">
      <x:c r="A17" s="10" t="str">
        <x:v>UAT-KAN-06</x:v>
      </x:c>
      <x:c r="B17" s="10" t="str">
        <x:v>Kanban basico</x:v>
      </x:c>
      <x:c r="C17" s="10" t="str">
        <x:v>Funcional</x:v>
      </x:c>
      <x:c r="D17" s="10" t="str">
        <x:v>Busqueda en Kanban</x:v>
      </x:c>
      <x:c r="E17" s="10" t="str">
        <x:v>Acciones con titulos distintos.</x:v>
      </x:c>
      <x:c r="F17" s="10" t="str">
        <x:v>1) Buscar texto. 2) Revisar cards/lista.</x:v>
      </x:c>
      <x:c r="G17" s="10" t="str">
        <x:v>Solo aparecen acciones coincidentes.</x:v>
      </x:c>
      <x:c r="H17" s="10" t="str">
        <x:v>Buscar: cierre</x:v>
      </x:c>
      <x:c r="I17" s="10" t="str">
        <x:v>Analista piloto</x:v>
      </x:c>
      <x:c r="J17" s="10" t="str">
        <x:v>Media</x:v>
      </x:c>
      <x:c r="K17" s="10" t="str">
        <x:v>Pendiente</x:v>
      </x:c>
      <x:c r="L17" s="10" t="str"/>
      <x:c r="M17" s="10" t="str"/>
      <x:c r="N17" s="10" t="str"/>
    </x:row>
    <x:row r="18">
      <x:c r="A18" s="10" t="str">
        <x:v>UAT-KAN-07</x:v>
      </x:c>
      <x:c r="B18" s="10" t="str">
        <x:v>Kanban basico</x:v>
      </x:c>
      <x:c r="C18" s="10" t="str">
        <x:v>Funcional</x:v>
      </x:c>
      <x:c r="D18" s="10" t="str">
        <x:v>Filtrar por prioridad</x:v>
      </x:c>
      <x:c r="E18" s="10" t="str">
        <x:v>Prioridades activas.</x:v>
      </x:c>
      <x:c r="F18" s="10" t="str">
        <x:v>1) Seleccionar prioridad. 2) Limpiar filtro.</x:v>
      </x:c>
      <x:c r="G18" s="10" t="str">
        <x:v>Filtra y limpia correctamente.</x:v>
      </x:c>
      <x:c r="H18" s="10" t="str">
        <x:v>Prioridad Alta</x:v>
      </x:c>
      <x:c r="I18" s="10" t="str">
        <x:v>Analista piloto</x:v>
      </x:c>
      <x:c r="J18" s="10" t="str">
        <x:v>Media</x:v>
      </x:c>
      <x:c r="K18" s="10" t="str">
        <x:v>Pendiente</x:v>
      </x:c>
      <x:c r="L18" s="10" t="str"/>
      <x:c r="M18" s="10" t="str"/>
      <x:c r="N18" s="10" t="str"/>
    </x:row>
    <x:row r="19">
      <x:c r="A19" s="10" t="str">
        <x:v>UAT-KAN-08</x:v>
      </x:c>
      <x:c r="B19" s="10" t="str">
        <x:v>Kanban basico</x:v>
      </x:c>
      <x:c r="C19" s="10" t="str">
        <x:v>Borde</x:v>
      </x:c>
      <x:c r="D19" s="10" t="str">
        <x:v>Sin resultados</x:v>
      </x:c>
      <x:c r="E19" s="10" t="str">
        <x:v>Filtro sin coincidencias.</x:v>
      </x:c>
      <x:c r="F19" s="10" t="str">
        <x:v>1) Aplicar filtro sin resultados.</x:v>
      </x:c>
      <x:c r="G19" s="10" t="str">
        <x:v>Aparece mensaje claro de sin resultados.</x:v>
      </x:c>
      <x:c r="H19" s="10" t="str">
        <x:v>Filtro extremo</x:v>
      </x:c>
      <x:c r="I19" s="10" t="str">
        <x:v>Analista piloto</x:v>
      </x:c>
      <x:c r="J19" s="10" t="str">
        <x:v>Media</x:v>
      </x:c>
      <x:c r="K19" s="10" t="str">
        <x:v>Pendiente</x:v>
      </x:c>
      <x:c r="L19" s="10" t="str"/>
      <x:c r="M19" s="10" t="str"/>
      <x:c r="N19" s="10" t="str"/>
    </x:row>
    <x:row r="20">
      <x:c r="A20" s="10" t="str">
        <x:v>UAT-KAN-09</x:v>
      </x:c>
      <x:c r="B20" s="10" t="str">
        <x:v>Kanban avanzado</x:v>
      </x:c>
      <x:c r="C20" s="10" t="str">
        <x:v>Funcional</x:v>
      </x:c>
      <x:c r="D20" s="10" t="str">
        <x:v>Vista lista y tablero consistentes</x:v>
      </x:c>
      <x:c r="E20" s="10" t="str">
        <x:v>Varias acciones visibles.</x:v>
      </x:c>
      <x:c r="F20" s="10" t="str">
        <x:v>1) Cambiar a lista. 2) Volver a tablero.</x:v>
      </x:c>
      <x:c r="G20" s="10" t="str">
        <x:v>Ambas vistas muestran el mismo universo filtrado.</x:v>
      </x:c>
      <x:c r="H20" s="10" t="str">
        <x:v>Acciones variadas</x:v>
      </x:c>
      <x:c r="I20" s="10" t="str">
        <x:v>Analista piloto</x:v>
      </x:c>
      <x:c r="J20" s="10" t="str">
        <x:v>Alta</x:v>
      </x:c>
      <x:c r="K20" s="10" t="str">
        <x:v>Pendiente</x:v>
      </x:c>
      <x:c r="L20" s="10" t="str"/>
      <x:c r="M20" s="10" t="str"/>
      <x:c r="N20" s="10" t="str"/>
    </x:row>
    <x:row r="21">
      <x:c r="A21" s="10" t="str">
        <x:v>UAT-KAN-10</x:v>
      </x:c>
      <x:c r="B21" s="10" t="str">
        <x:v>Kanban avanzado</x:v>
      </x:c>
      <x:c r="C21" s="10" t="str">
        <x:v>Funcional</x:v>
      </x:c>
      <x:c r="D21" s="10" t="str">
        <x:v>Filtros combinados</x:v>
      </x:c>
      <x:c r="E21" s="10" t="str">
        <x:v>Datos variados.</x:v>
      </x:c>
      <x:c r="F21" s="10" t="str">
        <x:v>1) Combinar fecha, estado, area y responsable.</x:v>
      </x:c>
      <x:c r="G21" s="10" t="str">
        <x:v>Los resultados cumplen todos los criterios.</x:v>
      </x:c>
      <x:c r="H21" s="10" t="str">
        <x:v>Filtros combinados</x:v>
      </x:c>
      <x:c r="I21" s="10" t="str">
        <x:v>Analista piloto</x:v>
      </x:c>
      <x:c r="J21" s="10" t="str">
        <x:v>Alta</x:v>
      </x:c>
      <x:c r="K21" s="10" t="str">
        <x:v>Pendiente</x:v>
      </x:c>
      <x:c r="L21" s="10" t="str"/>
      <x:c r="M21" s="10" t="str"/>
      <x:c r="N21" s="10" t="str"/>
    </x:row>
    <x:row r="22">
      <x:c r="A22" s="10" t="str">
        <x:v>UAT-KAN-11</x:v>
      </x:c>
      <x:c r="B22" s="10" t="str">
        <x:v>Kanban avanzado</x:v>
      </x:c>
      <x:c r="C22" s="10" t="str">
        <x:v>Permisos</x:v>
      </x:c>
      <x:c r="D22" s="10" t="str">
        <x:v>Accion restringida por rol</x:v>
      </x:c>
      <x:c r="E22" s="10" t="str">
        <x:v>Analista sin permisos admin.</x:v>
      </x:c>
      <x:c r="F22" s="10" t="str">
        <x:v>1) Intentar accion no permitida si aparece.</x:v>
      </x:c>
      <x:c r="G22" s="10" t="str">
        <x:v>No se permite y muestra feedback claro.</x:v>
      </x:c>
      <x:c r="H22" s="10" t="str">
        <x:v>Rol Analista</x:v>
      </x:c>
      <x:c r="I22" s="10" t="str">
        <x:v>Scrum Master</x:v>
      </x:c>
      <x:c r="J22" s="10" t="str">
        <x:v>Critica</x:v>
      </x:c>
      <x:c r="K22" s="10" t="str">
        <x:v>Pendiente</x:v>
      </x:c>
      <x:c r="L22" s="10" t="str"/>
      <x:c r="M22" s="10" t="str"/>
      <x:c r="N22" s="10" t="str"/>
    </x:row>
    <x:row r="23">
      <x:c r="A23" s="10" t="str">
        <x:v>UAT-KAN-E01</x:v>
      </x:c>
      <x:c r="B23" s="10" t="str">
        <x:v>Kanban avanzado</x:v>
      </x:c>
      <x:c r="C23" s="10" t="str">
        <x:v>Borde</x:v>
      </x:c>
      <x:c r="D23" s="10" t="str">
        <x:v>Card con datos largos</x:v>
      </x:c>
      <x:c r="E23" s="10" t="str">
        <x:v>Accion con titulo/descripcion larga.</x:v>
      </x:c>
      <x:c r="F23" s="10" t="str">
        <x:v>1) Visualizar card. 2) Abrir detalle.</x:v>
      </x:c>
      <x:c r="G23" s="10" t="str">
        <x:v>No rompe layout y el detalle es legible.</x:v>
      </x:c>
      <x:c r="H23" s="10" t="str">
        <x:v>Texto largo</x:v>
      </x:c>
      <x:c r="I23" s="10" t="str">
        <x:v>Analista piloto</x:v>
      </x:c>
      <x:c r="J23" s="10" t="str">
        <x:v>Media</x:v>
      </x:c>
      <x:c r="K23" s="10" t="str">
        <x:v>Pendiente</x:v>
      </x:c>
      <x:c r="L23" s="10" t="str"/>
      <x:c r="M23" s="10" t="str"/>
      <x:c r="N23" s="10" t="str"/>
    </x:row>
    <x:row r="24">
      <x:c r="A24" s="10" t="str">
        <x:v>UAT-ACA-01</x:v>
      </x:c>
      <x:c r="B24" s="10" t="str">
        <x:v>Academia</x:v>
      </x:c>
      <x:c r="C24" s="10" t="str">
        <x:v>Funcional</x:v>
      </x:c>
      <x:c r="D24" s="10" t="str">
        <x:v>Acceso a Academia</x:v>
      </x:c>
      <x:c r="E24" s="10" t="str">
        <x:v>Usuario Analista activo.</x:v>
      </x:c>
      <x:c r="F24" s="10" t="str">
        <x:v>1) Abrir /academia.</x:v>
      </x:c>
      <x:c r="G24" s="10" t="str">
        <x:v>La pagina carga modulos y progreso.</x:v>
      </x:c>
      <x:c r="H24" s="10" t="str">
        <x:v>Usuario Analista</x:v>
      </x:c>
      <x:c r="I24" s="10" t="str">
        <x:v>Analista piloto</x:v>
      </x:c>
      <x:c r="J24" s="10" t="str">
        <x:v>Alta</x:v>
      </x:c>
      <x:c r="K24" s="10" t="str">
        <x:v>Pendiente</x:v>
      </x:c>
      <x:c r="L24" s="10" t="str"/>
      <x:c r="M24" s="10" t="str"/>
      <x:c r="N24" s="10" t="str"/>
    </x:row>
    <x:row r="25">
      <x:c r="A25" s="10" t="str">
        <x:v>UAT-ACA-02</x:v>
      </x:c>
      <x:c r="B25" s="10" t="str">
        <x:v>Academia</x:v>
      </x:c>
      <x:c r="C25" s="10" t="str">
        <x:v>Funcional</x:v>
      </x:c>
      <x:c r="D25" s="10" t="str">
        <x:v>Ver modulo</x:v>
      </x:c>
      <x:c r="E25" s="10" t="str">
        <x:v>Modulo disponible.</x:v>
      </x:c>
      <x:c r="F25" s="10" t="str">
        <x:v>1) Abrir modulo. 2) Revisar contenido.</x:v>
      </x:c>
      <x:c r="G25" s="10" t="str">
        <x:v>Contenido legible y sin errores.</x:v>
      </x:c>
      <x:c r="H25" s="10" t="str">
        <x:v>Modulo 1</x:v>
      </x:c>
      <x:c r="I25" s="10" t="str">
        <x:v>Analista piloto</x:v>
      </x:c>
      <x:c r="J25" s="10" t="str">
        <x:v>Media</x:v>
      </x:c>
      <x:c r="K25" s="10" t="str">
        <x:v>Pendiente</x:v>
      </x:c>
      <x:c r="L25" s="10" t="str"/>
      <x:c r="M25" s="10" t="str"/>
      <x:c r="N25" s="10" t="str"/>
    </x:row>
    <x:row r="26">
      <x:c r="A26" s="10" t="str">
        <x:v>UAT-ACA-03</x:v>
      </x:c>
      <x:c r="B26" s="10" t="str">
        <x:v>Academia</x:v>
      </x:c>
      <x:c r="C26" s="10" t="str">
        <x:v>Funcional</x:v>
      </x:c>
      <x:c r="D26" s="10" t="str">
        <x:v>Progreso de aprendizaje</x:v>
      </x:c>
      <x:c r="E26" s="10" t="str">
        <x:v>Modulo con avance.</x:v>
      </x:c>
      <x:c r="F26" s="10" t="str">
        <x:v>1) Completar paso o actividad. 2) Recargar.</x:v>
      </x:c>
      <x:c r="G26" s="10" t="str">
        <x:v>El progreso se conserva.</x:v>
      </x:c>
      <x:c r="H26" s="10" t="str">
        <x:v>Paso de modulo</x:v>
      </x:c>
      <x:c r="I26" s="10" t="str">
        <x:v>Analista piloto</x:v>
      </x:c>
      <x:c r="J26" s="10" t="str">
        <x:v>Alta</x:v>
      </x:c>
      <x:c r="K26" s="10" t="str">
        <x:v>Pendiente</x:v>
      </x:c>
      <x:c r="L26" s="10" t="str"/>
      <x:c r="M26" s="10" t="str"/>
      <x:c r="N26" s="10" t="str"/>
    </x:row>
    <x:row r="27">
      <x:c r="A27" s="10" t="str">
        <x:v>UAT-DIS-01</x:v>
      </x:c>
      <x:c r="B27" s="10" t="str">
        <x:v>Disciplina</x:v>
      </x:c>
      <x:c r="C27" s="10" t="str">
        <x:v>Funcional</x:v>
      </x:c>
      <x:c r="D27" s="10" t="str">
        <x:v>Acceso a Disciplina</x:v>
      </x:c>
      <x:c r="E27" s="10" t="str">
        <x:v>Usuario Analista activo.</x:v>
      </x:c>
      <x:c r="F27" s="10" t="str">
        <x:v>1) Abrir /disciplina.</x:v>
      </x:c>
      <x:c r="G27" s="10" t="str">
        <x:v>Carga el dia operativo del usuario.</x:v>
      </x:c>
      <x:c r="H27" s="10" t="str">
        <x:v>Usuario Analista</x:v>
      </x:c>
      <x:c r="I27" s="10" t="str">
        <x:v>Analista piloto</x:v>
      </x:c>
      <x:c r="J27" s="10" t="str">
        <x:v>Alta</x:v>
      </x:c>
      <x:c r="K27" s="10" t="str">
        <x:v>Pendiente</x:v>
      </x:c>
      <x:c r="L27" s="10" t="str"/>
      <x:c r="M27" s="10" t="str"/>
      <x:c r="N27" s="10" t="str"/>
    </x:row>
    <x:row r="28">
      <x:c r="A28" s="10" t="str">
        <x:v>UAT-DIS-02</x:v>
      </x:c>
      <x:c r="B28" s="10" t="str">
        <x:v>Disciplina</x:v>
      </x:c>
      <x:c r="C28" s="10" t="str">
        <x:v>Funcional</x:v>
      </x:c>
      <x:c r="D28" s="10" t="str">
        <x:v>Acciones del dia</x:v>
      </x:c>
      <x:c r="E28" s="10" t="str">
        <x:v>Acciones creadas/asignadas.</x:v>
      </x:c>
      <x:c r="F28" s="10" t="str">
        <x:v>1) Revisar acciones del dia.</x:v>
      </x:c>
      <x:c r="G28" s="10" t="str">
        <x:v>Muestra acciones y conteos correctos.</x:v>
      </x:c>
      <x:c r="H28" s="10" t="str">
        <x:v>Acciones de prueba</x:v>
      </x:c>
      <x:c r="I28" s="10" t="str">
        <x:v>Analista piloto</x:v>
      </x:c>
      <x:c r="J28" s="10" t="str">
        <x:v>Alta</x:v>
      </x:c>
      <x:c r="K28" s="10" t="str">
        <x:v>Pendiente</x:v>
      </x:c>
      <x:c r="L28" s="10" t="str"/>
      <x:c r="M28" s="10" t="str"/>
      <x:c r="N28" s="10" t="str"/>
    </x:row>
    <x:row r="29">
      <x:c r="A29" s="10" t="str">
        <x:v>UAT-DIS-03</x:v>
      </x:c>
      <x:c r="B29" s="10" t="str">
        <x:v>Disciplina</x:v>
      </x:c>
      <x:c r="C29" s="10" t="str">
        <x:v>Funcional</x:v>
      </x:c>
      <x:c r="D29" s="10" t="str">
        <x:v>Accesos a modulos relacionados</x:v>
      </x:c>
      <x:c r="E29" s="10" t="str">
        <x:v>Disciplina abierta.</x:v>
      </x:c>
      <x:c r="F29" s="10" t="str">
        <x:v>1) Ir a Kanban/Academia/Calendario desde la vista.</x:v>
      </x:c>
      <x:c r="G29" s="10" t="str">
        <x:v>Los enlaces navegan al modulo correcto.</x:v>
      </x:c>
      <x:c r="H29" s="10" t="str">
        <x:v>Links internos</x:v>
      </x:c>
      <x:c r="I29" s="10" t="str">
        <x:v>Analista piloto</x:v>
      </x:c>
      <x:c r="J29" s="10" t="str">
        <x:v>Media</x:v>
      </x:c>
      <x:c r="K29" s="10" t="str">
        <x:v>Pendiente</x:v>
      </x:c>
      <x:c r="L29" s="10" t="str"/>
      <x:c r="M29" s="10" t="str"/>
      <x:c r="N29" s="10" t="str"/>
    </x:row>
    <x:row r="30">
      <x:c r="A30" s="10" t="str">
        <x:v>UAT-PRF-01</x:v>
      </x:c>
      <x:c r="B30" s="10" t="str">
        <x:v>Perfil</x:v>
      </x:c>
      <x:c r="C30" s="10" t="str">
        <x:v>Funcional</x:v>
      </x:c>
      <x:c r="D30" s="10" t="str">
        <x:v>Acceso a Perfil</x:v>
      </x:c>
      <x:c r="E30" s="10" t="str">
        <x:v>Usuario Analista activo.</x:v>
      </x:c>
      <x:c r="F30" s="10" t="str">
        <x:v>1) Abrir Perfil desde ajustes.</x:v>
      </x:c>
      <x:c r="G30" s="10" t="str">
        <x:v>Muestra datos del usuario.</x:v>
      </x:c>
      <x:c r="H30" s="10" t="str">
        <x:v>Usuario Analista</x:v>
      </x:c>
      <x:c r="I30" s="10" t="str">
        <x:v>Analista piloto</x:v>
      </x:c>
      <x:c r="J30" s="10" t="str">
        <x:v>Alta</x:v>
      </x:c>
      <x:c r="K30" s="10" t="str">
        <x:v>Pendiente</x:v>
      </x:c>
      <x:c r="L30" s="10" t="str"/>
      <x:c r="M30" s="10" t="str"/>
      <x:c r="N30" s="10" t="str"/>
    </x:row>
    <x:row r="31">
      <x:c r="A31" s="10" t="str">
        <x:v>UAT-PRF-02</x:v>
      </x:c>
      <x:c r="B31" s="10" t="str">
        <x:v>Perfil</x:v>
      </x:c>
      <x:c r="C31" s="10" t="str">
        <x:v>Funcional</x:v>
      </x:c>
      <x:c r="D31" s="10" t="str">
        <x:v>Actualizar datos permitidos</x:v>
      </x:c>
      <x:c r="E31" s="10" t="str">
        <x:v>Perfil abierto.</x:v>
      </x:c>
      <x:c r="F31" s="10" t="str">
        <x:v>1) Editar campo permitido. 2) Guardar.</x:v>
      </x:c>
      <x:c r="G31" s="10" t="str">
        <x:v>Los cambios se guardan sin afectar rol.</x:v>
      </x:c>
      <x:c r="H31" s="10" t="str">
        <x:v>Nombre/telefono</x:v>
      </x:c>
      <x:c r="I31" s="10" t="str">
        <x:v>Analista piloto</x:v>
      </x:c>
      <x:c r="J31" s="10" t="str">
        <x:v>Media</x:v>
      </x:c>
      <x:c r="K31" s="10" t="str">
        <x:v>Pendiente</x:v>
      </x:c>
      <x:c r="L31" s="10" t="str"/>
      <x:c r="M31" s="10" t="str"/>
      <x:c r="N31" s="10" t="str"/>
    </x:row>
    <x:row r="32">
      <x:c r="A32" s="10" t="str">
        <x:v>UAT-PRF-03</x:v>
      </x:c>
      <x:c r="B32" s="10" t="str">
        <x:v>Perfil</x:v>
      </x:c>
      <x:c r="C32" s="10" t="str">
        <x:v>Funcional</x:v>
      </x:c>
      <x:c r="D32" s="10" t="str">
        <x:v>Cambio de contrasena</x:v>
      </x:c>
      <x:c r="E32" s="10" t="str">
        <x:v>Usuario con sesion activa.</x:v>
      </x:c>
      <x:c r="F32" s="10" t="str">
        <x:v>1) Abrir cambio de contrasena. 2) Validar flujo.</x:v>
      </x:c>
      <x:c r="G32" s="10" t="str">
        <x:v>El flujo responde con mensajes claros.</x:v>
      </x:c>
      <x:c r="H32" s="10" t="str">
        <x:v>Credenciales prueba</x:v>
      </x:c>
      <x:c r="I32" s="10" t="str">
        <x:v>Analista piloto</x:v>
      </x:c>
      <x:c r="J32" s="10" t="str">
        <x:v>Alta</x:v>
      </x:c>
      <x:c r="K32" s="10" t="str">
        <x:v>Pendiente</x:v>
      </x:c>
      <x:c r="L32" s="10" t="str"/>
      <x:c r="M32" s="10" t="str"/>
      <x:c r="N32" s="10" t="str"/>
    </x:row>
    <x:row r="33">
      <x:c r="A33" s="10" t="str">
        <x:v>UAT-CAL-01</x:v>
      </x:c>
      <x:c r="B33" s="10" t="str">
        <x:v>Calendario</x:v>
      </x:c>
      <x:c r="C33" s="10" t="str">
        <x:v>Funcional</x:v>
      </x:c>
      <x:c r="D33" s="10" t="str">
        <x:v>Acceso a Calendario</x:v>
      </x:c>
      <x:c r="E33" s="10" t="str">
        <x:v>Usuario Analista activo.</x:v>
      </x:c>
      <x:c r="F33" s="10" t="str">
        <x:v>1) Abrir /calendario.</x:v>
      </x:c>
      <x:c r="G33" s="10" t="str">
        <x:v>Calendario carga el mes actual.</x:v>
      </x:c>
      <x:c r="H33" s="10" t="str">
        <x:v>Usuario Analista</x:v>
      </x:c>
      <x:c r="I33" s="10" t="str">
        <x:v>Analista piloto</x:v>
      </x:c>
      <x:c r="J33" s="10" t="str">
        <x:v>Alta</x:v>
      </x:c>
      <x:c r="K33" s="10" t="str">
        <x:v>Pendiente</x:v>
      </x:c>
      <x:c r="L33" s="10" t="str"/>
      <x:c r="M33" s="10" t="str"/>
      <x:c r="N33" s="10" t="str"/>
    </x:row>
    <x:row r="34">
      <x:c r="A34" s="10" t="str">
        <x:v>UAT-CAL-02</x:v>
      </x:c>
      <x:c r="B34" s="10" t="str">
        <x:v>Calendario</x:v>
      </x:c>
      <x:c r="C34" s="10" t="str">
        <x:v>Funcional</x:v>
      </x:c>
      <x:c r="D34" s="10" t="str">
        <x:v>Navegar meses</x:v>
      </x:c>
      <x:c r="E34" s="10" t="str">
        <x:v>Calendario abierto.</x:v>
      </x:c>
      <x:c r="F34" s="10" t="str">
        <x:v>1) Ir al mes siguiente. 2) Regresar.</x:v>
      </x:c>
      <x:c r="G34" s="10" t="str">
        <x:v>La vista cambia de mes correctamente.</x:v>
      </x:c>
      <x:c r="H34" s="10" t="str">
        <x:v>Vista mensual</x:v>
      </x:c>
      <x:c r="I34" s="10" t="str">
        <x:v>Analista piloto</x:v>
      </x:c>
      <x:c r="J34" s="10" t="str">
        <x:v>Media</x:v>
      </x:c>
      <x:c r="K34" s="10" t="str">
        <x:v>Pendiente</x:v>
      </x:c>
      <x:c r="L34" s="10" t="str"/>
      <x:c r="M34" s="10" t="str"/>
      <x:c r="N34" s="10" t="str"/>
    </x:row>
    <x:row r="35">
      <x:c r="A35" s="10" t="str">
        <x:v>UAT-CAL-03</x:v>
      </x:c>
      <x:c r="B35" s="10" t="str">
        <x:v>Calendario</x:v>
      </x:c>
      <x:c r="C35" s="10" t="str">
        <x:v>Funcional</x:v>
      </x:c>
      <x:c r="D35" s="10" t="str">
        <x:v>Ver acciones por dia</x:v>
      </x:c>
      <x:c r="E35" s="10" t="str">
        <x:v>Acciones con fecha.</x:v>
      </x:c>
      <x:c r="F35" s="10" t="str">
        <x:v>1) Seleccionar dia con acciones.</x:v>
      </x:c>
      <x:c r="G35" s="10" t="str">
        <x:v>El detalle muestra acciones del dia.</x:v>
      </x:c>
      <x:c r="H35" s="10" t="str">
        <x:v>Dia con acciones</x:v>
      </x:c>
      <x:c r="I35" s="10" t="str">
        <x:v>Analista piloto</x:v>
      </x:c>
      <x:c r="J35" s="10" t="str">
        <x:v>Alta</x:v>
      </x:c>
      <x:c r="K35" s="10" t="str">
        <x:v>Pendiente</x:v>
      </x:c>
      <x:c r="L35" s="10" t="str"/>
      <x:c r="M35" s="10" t="str"/>
      <x:c r="N35" s="10" t="str"/>
    </x:row>
    <x:row r="36">
      <x:c r="A36" s="10" t="str">
        <x:v>UAT-CAL-04</x:v>
      </x:c>
      <x:c r="B36" s="10" t="str">
        <x:v>Calendario</x:v>
      </x:c>
      <x:c r="C36" s="10" t="str">
        <x:v>Funcional</x:v>
      </x:c>
      <x:c r="D36" s="10" t="str">
        <x:v>Crear recordatorio/minuta</x:v>
      </x:c>
      <x:c r="E36" s="10" t="str">
        <x:v>Dia seleccionado.</x:v>
      </x:c>
      <x:c r="F36" s="10" t="str">
        <x:v>1) Crear recordatorio o minuta. 2) Guardar.</x:v>
      </x:c>
      <x:c r="G36" s="10" t="str">
        <x:v>El elemento aparece en la fecha correcta.</x:v>
      </x:c>
      <x:c r="H36" s="10" t="str">
        <x:v>Recordatorio prueba</x:v>
      </x:c>
      <x:c r="I36" s="10" t="str">
        <x:v>Analista piloto</x:v>
      </x:c>
      <x:c r="J36" s="10" t="str">
        <x:v>Alta</x:v>
      </x:c>
      <x:c r="K36" s="10" t="str">
        <x:v>Pendiente</x:v>
      </x:c>
      <x:c r="L36" s="10" t="str"/>
      <x:c r="M36" s="10" t="str"/>
      <x:c r="N36" s="10" t="str"/>
    </x:row>
    <x:row r="37">
      <x:c r="A37" s="10" t="str">
        <x:v>UAT-CAL-05</x:v>
      </x:c>
      <x:c r="B37" s="10" t="str">
        <x:v>Calendario</x:v>
      </x:c>
      <x:c r="C37" s="10" t="str">
        <x:v>Funcional</x:v>
      </x:c>
      <x:c r="D37" s="10" t="str">
        <x:v>Editar accion desde calendario</x:v>
      </x:c>
      <x:c r="E37" s="10" t="str">
        <x:v>Accion visible.</x:v>
      </x:c>
      <x:c r="F37" s="10" t="str">
        <x:v>1) Abrir accion desde dia. 2) Editar. 3) Guardar.</x:v>
      </x:c>
      <x:c r="G37" s="10" t="str">
        <x:v>Cambio se refleja en Calendario y Kanban.</x:v>
      </x:c>
      <x:c r="H37" s="10" t="str">
        <x:v>Accion existente</x:v>
      </x:c>
      <x:c r="I37" s="10" t="str">
        <x:v>Analista piloto</x:v>
      </x:c>
      <x:c r="J37" s="10" t="str">
        <x:v>Critica</x:v>
      </x:c>
      <x:c r="K37" s="10" t="str">
        <x:v>Pendiente</x:v>
      </x:c>
      <x:c r="L37" s="10" t="str"/>
      <x:c r="M37" s="10" t="str"/>
      <x:c r="N37" s="10" t="str"/>
    </x:row>
    <x:row r="38">
      <x:c r="A38" s="10" t="str">
        <x:v>UAT-NOT-01</x:v>
      </x:c>
      <x:c r="B38" s="10" t="str">
        <x:v>Notificaciones</x:v>
      </x:c>
      <x:c r="C38" s="10" t="str">
        <x:v>Funcional</x:v>
      </x:c>
      <x:c r="D38" s="10" t="str">
        <x:v>Centro de notificaciones</x:v>
      </x:c>
      <x:c r="E38" s="10" t="str">
        <x:v>Usuario con notificaciones.</x:v>
      </x:c>
      <x:c r="F38" s="10" t="str">
        <x:v>1) Abrir centro de notificaciones.</x:v>
      </x:c>
      <x:c r="G38" s="10" t="str">
        <x:v>Lista notificaciones y estado leido/no leido.</x:v>
      </x:c>
      <x:c r="H38" s="10" t="str">
        <x:v>Notificaciones prueba</x:v>
      </x:c>
      <x:c r="I38" s="10" t="str">
        <x:v>Analista piloto</x:v>
      </x:c>
      <x:c r="J38" s="10" t="str">
        <x:v>Alta</x:v>
      </x:c>
      <x:c r="K38" s="10" t="str">
        <x:v>Pendiente</x:v>
      </x:c>
      <x:c r="L38" s="10" t="str"/>
      <x:c r="M38" s="10" t="str"/>
      <x:c r="N38" s="10" t="str"/>
    </x:row>
    <x:row r="39">
      <x:c r="A39" s="10" t="str">
        <x:v>UAT-NOT-02</x:v>
      </x:c>
      <x:c r="B39" s="10" t="str">
        <x:v>Notificaciones</x:v>
      </x:c>
      <x:c r="C39" s="10" t="str">
        <x:v>Funcional</x:v>
      </x:c>
      <x:c r="D39" s="10" t="str">
        <x:v>Marcar como leida</x:v>
      </x:c>
      <x:c r="E39" s="10" t="str">
        <x:v>Notificacion no leida.</x:v>
      </x:c>
      <x:c r="F39" s="10" t="str">
        <x:v>1) Abrir notificacion. 2) Marcar como leida.</x:v>
      </x:c>
      <x:c r="G39" s="10" t="str">
        <x:v>El contador baja y cambia estado.</x:v>
      </x:c>
      <x:c r="H39" s="10" t="str">
        <x:v>Notificacion no leida</x:v>
      </x:c>
      <x:c r="I39" s="10" t="str">
        <x:v>Analista piloto</x:v>
      </x:c>
      <x:c r="J39" s="10" t="str">
        <x:v>Alta</x:v>
      </x:c>
      <x:c r="K39" s="10" t="str">
        <x:v>Pendiente</x:v>
      </x:c>
      <x:c r="L39" s="10" t="str"/>
      <x:c r="M39" s="10" t="str"/>
      <x:c r="N39" s="10" t="str"/>
    </x:row>
    <x:row r="40">
      <x:c r="A40" s="10" t="str">
        <x:v>UAT-NOT-03</x:v>
      </x:c>
      <x:c r="B40" s="10" t="str">
        <x:v>Notificaciones</x:v>
      </x:c>
      <x:c r="C40" s="10" t="str">
        <x:v>Funcional</x:v>
      </x:c>
      <x:c r="D40" s="10" t="str">
        <x:v>Navegar desde notificacion</x:v>
      </x:c>
      <x:c r="E40" s="10" t="str">
        <x:v>Notificacion con accion asociada.</x:v>
      </x:c>
      <x:c r="F40" s="10" t="str">
        <x:v>1) Clic en notificacion.</x:v>
      </x:c>
      <x:c r="G40" s="10" t="str">
        <x:v>Abre la accion o modulo relacionado.</x:v>
      </x:c>
      <x:c r="H40" s="10" t="str">
        <x:v>Notificacion accion</x:v>
      </x:c>
      <x:c r="I40" s="10" t="str">
        <x:v>Analista piloto</x:v>
      </x:c>
      <x:c r="J40" s="10" t="str">
        <x:v>Media</x:v>
      </x:c>
      <x:c r="K40" s="10" t="str">
        <x:v>Pendiente</x:v>
      </x:c>
      <x:c r="L40" s="10" t="str"/>
      <x:c r="M40" s="10" t="str"/>
      <x:c r="N40" s="10" t="str"/>
    </x:row>
    <x:row r="41">
      <x:c r="A41" s="10" t="str">
        <x:v>UAT-NOT-E01</x:v>
      </x:c>
      <x:c r="B41" s="10" t="str">
        <x:v>Notificaciones</x:v>
      </x:c>
      <x:c r="C41" s="10" t="str">
        <x:v>Borde</x:v>
      </x:c>
      <x:c r="D41" s="10" t="str">
        <x:v>Sin notificaciones</x:v>
      </x:c>
      <x:c r="E41" s="10" t="str">
        <x:v>Usuario sin notificaciones.</x:v>
      </x:c>
      <x:c r="F41" s="10" t="str">
        <x:v>1) Abrir centro de notificaciones.</x:v>
      </x:c>
      <x:c r="G41" s="10" t="str">
        <x:v>Muestra empty state claro.</x:v>
      </x:c>
      <x:c r="H41" s="10" t="str">
        <x:v>Usuario nuevo</x:v>
      </x:c>
      <x:c r="I41" s="10" t="str">
        <x:v>Analista piloto</x:v>
      </x:c>
      <x:c r="J41" s="10" t="str">
        <x:v>Media</x:v>
      </x:c>
      <x:c r="K41" s="10" t="str">
        <x:v>Pendiente</x:v>
      </x:c>
      <x:c r="L41" s="10" t="str"/>
      <x:c r="M41" s="10" t="str"/>
      <x:c r="N41" s="10" t="str"/>
    </x:row>
  </x:sheetData>
  <x:dataValidations count="2">
    <x:dataValidation type="list" sqref="J2:J200">
      <x:formula1>"Critica,Alta,Media,Baja"</x:formula1>
    </x:dataValidation>
    <x:dataValidation type="list" sqref="K2:K200">
      <x:formula1>"Pendiente,Aprobado,Fallido,Bloqueado,No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4db90f552149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45" hidden="0" customWidth="1"/>
    <x:col min="3" max="3" width="22.5" hidden="0" customWidth="1"/>
    <x:col min="4" max="4" width="20" hidden="0" customWidth="1"/>
    <x:col min="5" max="5" width="32.5" hidden="0" customWidth="1"/>
    <x:col min="6" max="6" width="32.5" hidden="0" customWidth="1"/>
  </x:cols>
  <x:sheetData>
    <x:row r="1" ht="25.5" customHeight="1">
      <x:c r="A1" s="17" t="str">
        <x:v>Guia de uso del Excel UAT</x:v>
      </x:c>
      <x:c r="B1" s="17" t="str"/>
      <x:c r="C1" s="17" t="str"/>
      <x:c r="D1" s="17" t="str"/>
      <x:c r="E1" s="17" t="str"/>
      <x:c r="F1" s="17" t="str"/>
    </x:row>
    <x:row r="2">
      <x:c r="A2" s="10"/>
      <x:c r="B2" s="10"/>
      <x:c r="C2" s="10"/>
      <x:c r="D2" s="10"/>
      <x:c r="E2" s="10"/>
      <x:c r="F2" s="10"/>
    </x:row>
    <x:row r="3">
      <x:c r="A3" s="18" t="str">
        <x:v>Bloque</x:v>
      </x:c>
      <x:c r="B3" s="18" t="str">
        <x:v>Que hacer</x:v>
      </x:c>
      <x:c r="C3" s="18" t="str">
        <x:v>Quien</x:v>
      </x:c>
      <x:c r="D3" s="18" t="str">
        <x:v>Cuando</x:v>
      </x:c>
      <x:c r="E3" s="18" t="str">
        <x:v>Salida esperada</x:v>
      </x:c>
      <x:c r="F3" s="18" t="str">
        <x:v>Notas</x:v>
      </x:c>
    </x:row>
    <x:row r="4">
      <x:c r="A4" s="10" t="str">
        <x:v>Antes de la sesion</x:v>
      </x:c>
      <x:c r="B4" s="10" t="str">
        <x:v>Revisar la pestana Sesiones y confirmar casos del modulo.</x:v>
      </x:c>
      <x:c r="C4" s="10" t="str">
        <x:v>Scrum Master</x:v>
      </x:c>
      <x:c r="D4" s="10" t="str">
        <x:v>Previo a UAT</x:v>
      </x:c>
      <x:c r="E4" s="10" t="str">
        <x:v>Casos claros y usuarios listos.</x:v>
      </x:c>
      <x:c r="F4" s="10" t="str">
        <x:v>No iniciar si faltan accesos.</x:v>
      </x:c>
    </x:row>
    <x:row r="5">
      <x:c r="A5" s="10" t="str">
        <x:v>Durante la sesion</x:v>
      </x:c>
      <x:c r="B5" s="10" t="str">
        <x:v>Ejecutar los pasos del caso en la pestana UAT.</x:v>
      </x:c>
      <x:c r="C5" s="10" t="str">
        <x:v>Analista</x:v>
      </x:c>
      <x:c r="D5" s="10" t="str">
        <x:v>En sesion</x:v>
      </x:c>
      <x:c r="E5" s="10" t="str">
        <x:v>Resultado actualizado por caso.</x:v>
      </x:c>
      <x:c r="F5" s="10" t="str">
        <x:v>Usar Aprobado, Fallido o Bloqueado.</x:v>
      </x:c>
    </x:row>
    <x:row r="6">
      <x:c r="A6" s="10" t="str">
        <x:v>Evidencia</x:v>
      </x:c>
      <x:c r="B6" s="10" t="str">
        <x:v>Agregar liga, captura o referencia en Evidencia / liga.</x:v>
      </x:c>
      <x:c r="C6" s="10" t="str">
        <x:v>Analista</x:v>
      </x:c>
      <x:c r="D6" s="10" t="str">
        <x:v>Al probar</x:v>
      </x:c>
      <x:c r="E6" s="10" t="str">
        <x:v>Evidencia trazable.</x:v>
      </x:c>
      <x:c r="F6" s="10" t="str">
        <x:v>No pegar contrasenas.</x:v>
      </x:c>
    </x:row>
    <x:row r="7">
      <x:c r="A7" s="10" t="str">
        <x:v>Issues</x:v>
      </x:c>
      <x:c r="B7" s="10" t="str">
        <x:v>Si falla, crear issue dentro del tablero y registrar ID en UAT.</x:v>
      </x:c>
      <x:c r="C7" s="10" t="str">
        <x:v>Analista / Scrum Master</x:v>
      </x:c>
      <x:c r="D7" s="10" t="str">
        <x:v>Al detectar falla</x:v>
      </x:c>
      <x:c r="E7" s="10" t="str">
        <x:v>Issue reproducible.</x:v>
      </x:c>
      <x:c r="F7" s="10" t="str">
        <x:v>Usar la plantilla de Issues.</x:v>
      </x:c>
    </x:row>
    <x:row r="8">
      <x:c r="A8" s="10" t="str">
        <x:v>Cierre</x:v>
      </x:c>
      <x:c r="B8" s="10" t="str">
        <x:v>Revisar Resumen y decidir Go/No-Go por modulo.</x:v>
      </x:c>
      <x:c r="C8" s="10" t="str">
        <x:v>Owner / Scrum Master</x:v>
      </x:c>
      <x:c r="D8" s="10" t="str">
        <x:v>Cierre de sesion</x:v>
      </x:c>
      <x:c r="E8" s="10" t="str">
        <x:v>Ajustes priorizados.</x:v>
      </x:c>
      <x:c r="F8" s="10" t="str">
        <x:v>Criticos fallidos bloquean salida.</x:v>
      </x:c>
    </x:row>
  </x:sheetData>
  <x:pageMargins left="0.7" right="0.7" top="0.75" bottom="0.75" header="0.3" footer="0.3"/>
  <x:tableParts count="1">
    <x:tablePart xmlns:r="http://schemas.openxmlformats.org/officeDocument/2006/relationships" r:id="R2d86b9c7052748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8.75" hidden="0" customWidth="1"/>
    <x:col min="3" max="3" width="16.25" hidden="0" customWidth="1"/>
    <x:col min="4" max="4" width="11.880000114440918" hidden="0" customWidth="1"/>
    <x:col min="5" max="5" width="40" hidden="0" customWidth="1"/>
    <x:col min="6" max="6" width="47.5" hidden="0" customWidth="1"/>
    <x:col min="7" max="7" width="40" hidden="0" customWidth="1"/>
    <x:col min="8" max="8" width="15" hidden="0" customWidth="1"/>
    <x:col min="9" max="9" width="20" hidden="0" customWidth="1"/>
    <x:col min="10" max="10" width="32.5" hidden="0" customWidth="1"/>
  </x:cols>
  <x:sheetData>
    <x:row r="1">
      <x:c r="A1" s="18" t="str">
        <x:v>ID Issue</x:v>
      </x:c>
      <x:c r="B1" s="18" t="str">
        <x:v>Modulo</x:v>
      </x:c>
      <x:c r="C1" s="18" t="str">
        <x:v>Caso UAT</x:v>
      </x:c>
      <x:c r="D1" s="18" t="str">
        <x:v>Severidad</x:v>
      </x:c>
      <x:c r="E1" s="18" t="str">
        <x:v>Descripcion</x:v>
      </x:c>
      <x:c r="F1" s="18" t="str">
        <x:v>Pasos para reproducir</x:v>
      </x:c>
      <x:c r="G1" s="18" t="str">
        <x:v>Resultado esperado</x:v>
      </x:c>
      <x:c r="H1" s="18" t="str">
        <x:v>Estado</x:v>
      </x:c>
      <x:c r="I1" s="18" t="str">
        <x:v>Responsable</x:v>
      </x:c>
      <x:c r="J1" s="18" t="str">
        <x:v>Notas</x:v>
      </x:c>
    </x:row>
    <x:row r="2">
      <x:c r="A2" s="10" t="str">
        <x:v>ISS-001</x:v>
      </x:c>
      <x:c r="B2" s="10" t="str">
        <x:v>Dashboard</x:v>
      </x:c>
      <x:c r="C2" s="10" t="str">
        <x:v>UAT-DASH-01</x:v>
      </x:c>
      <x:c r="D2" s="10" t="str">
        <x:v>Critica</x:v>
      </x:c>
      <x:c r="E2" s="10" t="str">
        <x:v>Ejemplo: pantalla no carga.</x:v>
      </x:c>
      <x:c r="F2" s="10" t="str">
        <x:v>1) Iniciar sesion. 2) Abrir /dashboard.</x:v>
      </x:c>
      <x:c r="G2" s="10" t="str">
        <x:v>Dashboard carga sin error.</x:v>
      </x:c>
      <x:c r="H2" s="10" t="str">
        <x:v>Abierto</x:v>
      </x:c>
      <x:c r="I2" s="10" t="str">
        <x:v>Equipo tecnico</x:v>
      </x:c>
      <x:c r="J2" s="10" t="str">
        <x:v>Usar como formato de referencia.</x:v>
      </x:c>
    </x:row>
  </x:sheetData>
  <x:dataValidations count="2">
    <x:dataValidation type="list" sqref="D2:D100">
      <x:formula1>"Critica,Alta,Media,Baja"</x:formula1>
    </x:dataValidation>
    <x:dataValidation type="list" sqref="H2:H100">
      <x:formula1>"Abierto,En revision,Corregido,Cerrado,No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066126303749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5" hidden="0" customWidth="1"/>
    <x:col min="3" max="3" width="65" hidden="0" customWidth="1"/>
    <x:col min="4" max="4" width="23.75" hidden="0" customWidth="1"/>
    <x:col min="5" max="5" width="40" hidden="0" customWidth="1"/>
  </x:cols>
  <x:sheetData>
    <x:row r="1">
      <x:c r="A1" s="18" t="str">
        <x:v>Usuario</x:v>
      </x:c>
      <x:c r="B1" s="18" t="str">
        <x:v>Rol</x:v>
      </x:c>
      <x:c r="C1" s="18" t="str">
        <x:v>Acceso / modulos</x:v>
      </x:c>
      <x:c r="D1" s="18" t="str">
        <x:v>Contrasena</x:v>
      </x:c>
      <x:c r="E1" s="18" t="str">
        <x:v>Notas</x:v>
      </x:c>
    </x:row>
    <x:row r="2">
      <x:c r="A2" s="10" t="str">
        <x:v>Usuario Analista 1</x:v>
      </x:c>
      <x:c r="B2" s="10" t="str">
        <x:v>Analista</x:v>
      </x:c>
      <x:c r="C2" s="10" t="str">
        <x:v>Dashboard, Kanban basico, Kanban avanzado, Academia, Disciplina, Perfil, Calendario, Notificaciones</x:v>
      </x:c>
      <x:c r="D2" s="10" t="str">
        <x:v>Compartida por separado</x:v>
      </x:c>
      <x:c r="E2" s="10" t="str">
        <x:v>No colocar passwords reales en presentaciones.</x:v>
      </x:c>
    </x:row>
    <x:row r="3">
      <x:c r="A3" s="10" t="str">
        <x:v>Usuario Analista 2</x:v>
      </x:c>
      <x:c r="B3" s="10" t="str">
        <x:v>Analista</x:v>
      </x:c>
      <x:c r="C3" s="10" t="str">
        <x:v>Dashboard, Kanban basico, Kanban avanzado, Academia, Disciplina, Perfil, Calendario, Notificaciones</x:v>
      </x:c>
      <x:c r="D3" s="10" t="str">
        <x:v>Compartida por separado</x:v>
      </x:c>
      <x:c r="E3" s="10" t="str"/>
    </x:row>
    <x:row r="4">
      <x:c r="A4" s="10" t="str">
        <x:v>Facilitador</x:v>
      </x:c>
      <x:c r="B4" s="10" t="str">
        <x:v>Scrum Master / soporte</x:v>
      </x:c>
      <x:c r="C4" s="10" t="str">
        <x:v>Guia de sesion y reporte de issues</x:v>
      </x:c>
      <x:c r="D4" s="10" t="str">
        <x:v>No aplica</x:v>
      </x:c>
      <x:c r="E4" s="10" t="str"/>
    </x:row>
  </x:sheetData>
  <x:pageMargins left="0.7" right="0.7" top="0.75" bottom="0.75" header="0.3" footer="0.3"/>
  <x:tableParts count="1">
    <x:tablePart xmlns:r="http://schemas.openxmlformats.org/officeDocument/2006/relationships" r:id="Rd985d29dcef946b1"/>
  </x:tableParts>
</x:worksheet>
</file>