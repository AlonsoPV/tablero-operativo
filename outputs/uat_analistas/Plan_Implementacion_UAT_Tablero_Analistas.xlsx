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06e59dcca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0d3ba4d585c421e"/>
    <x:sheet xmlns:r="http://schemas.openxmlformats.org/officeDocument/2006/relationships" name="Plan" sheetId="2" r:id="Recacb78232f0431a"/>
    <x:sheet xmlns:r="http://schemas.openxmlformats.org/officeDocument/2006/relationships" name="Plan por modulo" sheetId="3" r:id="Rda4cc5feaecd4cf9"/>
    <x:sheet xmlns:r="http://schemas.openxmlformats.org/officeDocument/2006/relationships" name="UAT" sheetId="4" r:id="R0af1ea3411f941a4"/>
    <x:sheet xmlns:r="http://schemas.openxmlformats.org/officeDocument/2006/relationships" name="Sesiones" sheetId="5" r:id="R0bb1f79a874b417f"/>
    <x:sheet xmlns:r="http://schemas.openxmlformats.org/officeDocument/2006/relationships" name="Riesgos" sheetId="6" r:id="R88456128eb2a4d8a"/>
    <x:sheet xmlns:r="http://schemas.openxmlformats.org/officeDocument/2006/relationships" name="Checklist salida" sheetId="7" r:id="R218060df03ad49e6"/>
    <x:sheet xmlns:r="http://schemas.openxmlformats.org/officeDocument/2006/relationships" name="Checklist por modulo" sheetId="8" r:id="R52c50ec154304afa"/>
    <x:sheet xmlns:r="http://schemas.openxmlformats.org/officeDocument/2006/relationships" name="Protocolo operativo" sheetId="9" r:id="Rf9a20490501b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a2824f20b4793" /><Relationship Type="http://schemas.openxmlformats.org/officeDocument/2006/relationships/theme" Target="/xl/theme/theme1.xml" Id="R8dd38ce79c1a4982" /><Relationship Type="http://schemas.openxmlformats.org/officeDocument/2006/relationships/sharedStrings" Target="/xl/sharedStrings.xml" Id="R4cdb5d051b1a44fd" /><Relationship Type="http://schemas.openxmlformats.org/officeDocument/2006/relationships/worksheet" Target="/xl/worksheets/sheet1.xml" Id="R90d3ba4d585c421e" /><Relationship Type="http://schemas.openxmlformats.org/officeDocument/2006/relationships/worksheet" Target="/xl/worksheets/sheet2.xml" Id="Recacb78232f0431a" /><Relationship Type="http://schemas.openxmlformats.org/officeDocument/2006/relationships/worksheet" Target="/xl/worksheets/sheet3.xml" Id="Rda4cc5feaecd4cf9" /><Relationship Type="http://schemas.openxmlformats.org/officeDocument/2006/relationships/worksheet" Target="/xl/worksheets/sheet4.xml" Id="R0af1ea3411f941a4" /><Relationship Type="http://schemas.openxmlformats.org/officeDocument/2006/relationships/worksheet" Target="/xl/worksheets/sheet5.xml" Id="R0bb1f79a874b417f" /><Relationship Type="http://schemas.openxmlformats.org/officeDocument/2006/relationships/worksheet" Target="/xl/worksheets/sheet6.xml" Id="R88456128eb2a4d8a" /><Relationship Type="http://schemas.openxmlformats.org/officeDocument/2006/relationships/worksheet" Target="/xl/worksheets/sheet7.xml" Id="R218060df03ad49e6" /><Relationship Type="http://schemas.openxmlformats.org/officeDocument/2006/relationships/worksheet" Target="/xl/worksheets/sheet8.xml" Id="R52c50ec154304afa" /><Relationship Type="http://schemas.openxmlformats.org/officeDocument/2006/relationships/worksheet" Target="/xl/worksheets/sheet9.xml" Id="Rf9a20490501b42be" /></Relationships>
</file>

<file path=xl/tables/table1.xml><?xml version="1.0" encoding="utf-8"?>
<x:table xmlns:x="http://schemas.openxmlformats.org/spreadsheetml/2006/main" id="1" name="PlanImplementacion" displayName="PlanImplementacion" ref="A1:J15" headerRowCount="1">
  <x:tableColumns count="10">
    <x:tableColumn id="1" name="ID"/>
    <x:tableColumn id="2" name="Fase"/>
    <x:tableColumn id="3" name="Semana"/>
    <x:tableColumn id="4" name="Actividad"/>
    <x:tableColumn id="5" name="Objetivo"/>
    <x:tableColumn id="6" name="Responsable"/>
    <x:tableColumn id="7" name="Entregable"/>
    <x:tableColumn id="8" name="Estado"/>
    <x:tableColumn id="9" name="Criterio de cierre"/>
    <x:tableColumn id="10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PlanPorModulo" displayName="PlanPorModulo" ref="A1:J16" headerRowCount="1">
  <x:tableColumns count="10">
    <x:tableColumn id="1" name="ID"/>
    <x:tableColumn id="2" name="Modulo"/>
    <x:tableColumn id="3" name="Semana"/>
    <x:tableColumn id="4" name="Actividad"/>
    <x:tableColumn id="5" name="Objetivo funcional"/>
    <x:tableColumn id="6" name="Audiencia"/>
    <x:tableColumn id="7" name="Responsable"/>
    <x:tableColumn id="8" name="Entregable"/>
    <x:tableColumn id="9" name="Estado"/>
    <x:tableColumn id="10" name="Criterio de cierre"/>
  </x:tableColumns>
  <x:tableStyleInfo name="TableStyleMedium2" showRowStripes="1"/>
</x:table>
</file>

<file path=xl/tables/table3.xml><?xml version="1.0" encoding="utf-8"?>
<x:table xmlns:x="http://schemas.openxmlformats.org/spreadsheetml/2006/main" id="3" name="MatrizUAT" displayName="MatrizUAT" ref="A1:N31" headerRowCount="1">
  <x:tableColumns count="14">
    <x:tableColumn id="1" name="ID Caso"/>
    <x:tableColumn id="2" name="Modulo"/>
    <x:tableColumn id="3" name="Historia / Necesidad"/>
    <x:tableColumn id="4" name="Precondicion"/>
    <x:tableColumn id="5" name="Pasos de prueba"/>
    <x:tableColumn id="6" name="Resultado esperado"/>
    <x:tableColumn id="7" name="Datos de prueba"/>
    <x:tableColumn id="8" name="Responsable"/>
    <x:tableColumn id="9" name="Fecha planeada"/>
    <x:tableColumn id="10" name="Resultado"/>
    <x:tableColumn id="11" name="Evidencia / URL"/>
    <x:tableColumn id="12" name="Severidad"/>
    <x:tableColumn id="13" name="Defecto / Observacion"/>
    <x:tableColumn id="14" name="Reprueba"/>
  </x:tableColumns>
  <x:tableStyleInfo name="TableStyleMedium2" showRowStripes="1"/>
</x:table>
</file>

<file path=xl/tables/table4.xml><?xml version="1.0" encoding="utf-8"?>
<x:table xmlns:x="http://schemas.openxmlformats.org/spreadsheetml/2006/main" id="4" name="SesionesUAT" displayName="SesionesUAT" ref="A1:I8" headerRowCount="1">
  <x:tableColumns count="9">
    <x:tableColumn id="1" name="ID"/>
    <x:tableColumn id="2" name="Sesion"/>
    <x:tableColumn id="3" name="Audiencia"/>
    <x:tableColumn id="4" name="Objetivo"/>
    <x:tableColumn id="5" name="Duracion"/>
    <x:tableColumn id="6" name="Facilitador"/>
    <x:tableColumn id="7" name="Estado"/>
    <x:tableColumn id="8" name="Evidencia"/>
    <x:tableColumn id="9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RiesgosUAT" displayName="RiesgosUAT" ref="A1:I6" headerRowCount="1">
  <x:tableColumns count="9">
    <x:tableColumn id="1" name="ID"/>
    <x:tableColumn id="2" name="Tipo"/>
    <x:tableColumn id="3" name="Riesgo / Impedimento"/>
    <x:tableColumn id="4" name="Impacto"/>
    <x:tableColumn id="5" name="Probabilidad"/>
    <x:tableColumn id="6" name="Mitigacion"/>
    <x:tableColumn id="7" name="Estado"/>
    <x:tableColumn id="8" name="Responsable"/>
    <x:tableColumn id="9" name="Fecha objetivo"/>
  </x:tableColumns>
  <x:tableStyleInfo name="TableStyleMedium2" showRowStripes="1"/>
</x:table>
</file>

<file path=xl/tables/table6.xml><?xml version="1.0" encoding="utf-8"?>
<x:table xmlns:x="http://schemas.openxmlformats.org/spreadsheetml/2006/main" id="6" name="ChecklistSalida" displayName="ChecklistSalida" ref="A1:F9" headerRowCount="1">
  <x:tableColumns count="6">
    <x:tableColumn id="1" name="ID"/>
    <x:tableColumn id="2" name="Criterio"/>
    <x:tableColumn id="3" name="Validacion"/>
    <x:tableColumn id="4" name="Responsable"/>
    <x:tableColumn id="5" name="Estado"/>
    <x:tableColumn id="6" name="Evidencia / Comentario"/>
  </x:tableColumns>
  <x:tableStyleInfo name="TableStyleMedium2" showRowStripes="1"/>
</x:table>
</file>

<file path=xl/tables/table7.xml><?xml version="1.0" encoding="utf-8"?>
<x:table xmlns:x="http://schemas.openxmlformats.org/spreadsheetml/2006/main" id="7" name="ChecklistPorModulo" displayName="ChecklistPorModulo" ref="A1:J5" headerRowCount="1">
  <x:tableColumns count="10">
    <x:tableColumn id="1" name="Modulo"/>
    <x:tableColumn id="2" name="Objetivo de salida"/>
    <x:tableColumn id="3" name="Criterios minimos"/>
    <x:tableColumn id="4" name="Casos UAT esperados"/>
    <x:tableColumn id="5" name="% Aprobado"/>
    <x:tableColumn id="6" name="Bloqueadores"/>
    <x:tableColumn id="7" name="Estado"/>
    <x:tableColumn id="8" name="Responsable validacion"/>
    <x:tableColumn id="9" name="Go/No-Go"/>
    <x:tableColumn id="10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63d5636b384c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bf967d99e64e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ca3f92abf14b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e54ae5d90746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80cfb7c84f44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ee8ae65a81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8310078ccb4107" /></Relationships>
</file>

<file path=xl/worksheets/sheet1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58.75" hidden="0" customWidth="1"/>
    <x:col min="4" max="4" width="21.25" hidden="0" customWidth="1"/>
    <x:col min="5" max="5" width="17.5" hidden="0" customWidth="1"/>
    <x:col min="6" max="6" width="15" hidden="0" customWidth="1"/>
    <x:col min="7" max="7" width="13.75" hidden="0" customWidth="1"/>
    <x:col min="8" max="8" width="41.25" hidden="0" customWidth="1"/>
  </x:cols>
  <x:sheetData>
    <x:row r="1" ht="25.5" customHeight="1">
      <x:c r="A1" s="19" t="str">
        <x:v>Plan de Implementacion y UAT - Tablero Operativo v1 - Rol Analista</x:v>
      </x:c>
      <x:c r="B1" s="19" t="str"/>
      <x:c r="C1" s="19" t="str"/>
      <x:c r="D1" s="19" t="str"/>
      <x:c r="E1" s="19" t="str"/>
      <x:c r="F1" s="19" t="str"/>
      <x:c r="G1" s="19" t="str"/>
      <x:c r="H1" s="19" t="str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9" t="str">
        <x:v>Objetivo</x:v>
      </x:c>
      <x:c r="B3" s="10" t="str">
        <x:v>Validar que los usuarios con rol Analista puedan operar la primera version del tablero con claridad, visibilidad y seguimiento basico de acciones.</x:v>
      </x:c>
      <x:c r="C3" s="10"/>
      <x:c r="D3" s="20" t="str">
        <x:v>Indicador</x:v>
      </x:c>
      <x:c r="E3" s="20" t="str">
        <x:v>Formula / Meta</x:v>
      </x:c>
      <x:c r="F3" s="20" t="str">
        <x:v>Actual</x:v>
      </x:c>
      <x:c r="G3" s="20" t="str">
        <x:v>Semaforo</x:v>
      </x:c>
      <x:c r="H3" s="20" t="str">
        <x:v>Comentario</x:v>
      </x:c>
    </x:row>
    <x:row r="4">
      <x:c r="A4" s="9" t="str">
        <x:v>Alcance funcional</x:v>
      </x:c>
      <x:c r="B4" s="10" t="str">
        <x:v>Dashboard / Vision general, Pulso operativo, Resumen de acciones, Priorizacion sin enlaces a matriz, Operacion, filtros y acciones RUN.</x:v>
      </x:c>
      <x:c r="C4" s="10"/>
      <x:c r="D4" s="10" t="str">
        <x:v>Avance de plan</x:v>
      </x:c>
      <x:c r="E4" s="10" t="str">
        <x:v>&gt;= 90%</x:v>
      </x:c>
      <x:c r="F4" s="17" t="n">
        <x:f>IFERROR(COUNTIF(Plan!H2:H100,"Hecho")/COUNTA(Plan!A2:A100),0)</x:f>
        <x:v>0</x:v>
      </x:c>
      <x:c r="G4" s="10" t="str">
        <x:f>IF(F4&gt;=0.9,"Verde",IF(F4&gt;=0.7,"Amarillo","Rojo"))</x:f>
        <x:v>Rojo</x:v>
      </x:c>
      <x:c r="H4" s="10" t="str">
        <x:v>Actividades de implementacion terminadas</x:v>
      </x:c>
    </x:row>
    <x:row r="5">
      <x:c r="A5" s="9" t="str">
        <x:v>Rol objetivo</x:v>
      </x:c>
      <x:c r="B5" s="10" t="str">
        <x:v>Analista</x:v>
      </x:c>
      <x:c r="C5" s="10"/>
      <x:c r="D5" s="10" t="str">
        <x:v>UAT aprobado</x:v>
      </x:c>
      <x:c r="E5" s="10" t="str">
        <x:v>&gt;= 95%</x:v>
      </x:c>
      <x:c r="F5" s="17" t="n">
        <x:f>IFERROR(COUNTIF(UAT!J2:J200,"Aprobado")/COUNTA(UAT!A2:A200),0)</x:f>
        <x:v>0</x:v>
      </x:c>
      <x:c r="G5" s="10" t="str">
        <x:f>IF(F5&gt;=0.95,"Verde",IF(F5&gt;=0.85,"Amarillo","Rojo"))</x:f>
        <x:v>Rojo</x:v>
      </x:c>
      <x:c r="H5" s="10" t="str">
        <x:v>Casos de prueba aprobados</x:v>
      </x:c>
    </x:row>
    <x:row r="6">
      <x:c r="A6" s="9" t="str">
        <x:v>Enfoque Scrum Master</x:v>
      </x:c>
      <x:c r="B6" s="10" t="str">
        <x:v>Acompanar adopcion, levantar impedimentos, medir uso real y cerrar aprendizajes antes de escalar a mas areas.</x:v>
      </x:c>
      <x:c r="C6" s="10"/>
      <x:c r="D6" s="10" t="str">
        <x:v>Bloqueadores abiertos</x:v>
      </x:c>
      <x:c r="E6" s="10" t="str">
        <x:v>0</x:v>
      </x:c>
      <x:c r="F6" s="10" t="n">
        <x:f>COUNTIF(Riesgos!G2:G100,"Abierto")</x:f>
        <x:v>5</x:v>
      </x:c>
      <x:c r="G6" s="10" t="str">
        <x:f>IF(F6=0,"Verde",IF(F6&lt;=2,"Amarillo","Rojo"))</x:f>
        <x:v>Rojo</x:v>
      </x:c>
      <x:c r="H6" s="10" t="str">
        <x:v>Riesgos o impedimentos activos</x:v>
      </x:c>
    </x:row>
    <x:row r="7">
      <x:c r="A7" s="9" t="str">
        <x:v>Duracion sugerida</x:v>
      </x:c>
      <x:c r="B7" s="10" t="str">
        <x:v>3 semanas</x:v>
      </x:c>
      <x:c r="C7" s="10"/>
      <x:c r="D7" s="10" t="str">
        <x:v>Usuarios capacitados</x:v>
      </x:c>
      <x:c r="E7" s="10" t="str">
        <x:v>100%</x:v>
      </x:c>
      <x:c r="F7" s="17" t="n">
        <x:f>IFERROR(COUNTIF(Sesiones!G2:G100,"Completada")/COUNTA(Sesiones!A2:A100),0)</x:f>
        <x:v>0</x:v>
      </x:c>
      <x:c r="G7" s="10" t="str">
        <x:f>IF(F7&gt;=1,"Verde",IF(F7&gt;=0.8,"Amarillo","Rojo"))</x:f>
        <x:v>Rojo</x:v>
      </x:c>
      <x:c r="H7" s="10" t="str">
        <x:v>Sesiones ejecutadas</x:v>
      </x:c>
    </x:row>
    <x:row r="8">
      <x:c r="A8" s="9" t="str">
        <x:v>Criterio de salida</x:v>
      </x:c>
      <x:c r="B8" s="10" t="str">
        <x:v>UAT &gt;= 95% aprobado, 0 bloqueadores abiertos, usuarios clave capacitados y protocolo de seguimiento aceptado.</x:v>
      </x:c>
      <x:c r="C8" s="10"/>
      <x:c r="D8" s="10" t="str">
        <x:v>Defectos criticos</x:v>
      </x:c>
      <x:c r="E8" s="10" t="str">
        <x:v>0</x:v>
      </x:c>
      <x:c r="F8" s="10" t="n">
        <x:f>COUNTIFS(UAT!L2:L200,"Critica",UAT!J2:J200,"&lt;&gt;Aprobado")</x:f>
        <x:v>6</x:v>
      </x:c>
      <x:c r="G8" s="10" t="str">
        <x:f>IF(F8=0,"Verde","Rojo")</x:f>
        <x:v>Rojo</x:v>
      </x:c>
      <x:c r="H8" s="10" t="str">
        <x:v>Incidencias criticas pendientes</x:v>
      </x:c>
    </x:row>
    <x:row r="9">
      <x:c r="A9" s="9" t="str">
        <x:v>Version</x:v>
      </x:c>
      <x:c r="B9" s="10" t="str">
        <x:v>Primera version operativa</x:v>
      </x:c>
      <x:c r="C9" s="10"/>
      <x:c r="D9" s="10" t="str">
        <x:v>UAT Dashboard aprobado</x:v>
      </x:c>
      <x:c r="E9" s="10" t="str">
        <x:v>&gt;= 95%</x:v>
      </x:c>
      <x:c r="F9" s="17" t="n">
        <x:f>IFERROR(COUNTIFS(UAT!B2:B200,"Dashboard",UAT!J2:J200,"Aprobado")/COUNTIF(UAT!B2:B200,"Dashboard"),0)</x:f>
        <x:v>0</x:v>
      </x:c>
      <x:c r="G9" s="10" t="str">
        <x:f>IF(F9&gt;=0.95,"Verde",IF(F9&gt;=0.85,"Amarillo","Rojo"))</x:f>
        <x:v>Rojo</x:v>
      </x:c>
      <x:c r="H9" s="10" t="str">
        <x:v>Cobertura funcional del dashboard analista</x:v>
      </x:c>
    </x:row>
    <x:row r="10">
      <x:c r="A10" s="9" t="str">
        <x:v>Fecha de preparacion</x:v>
      </x:c>
      <x:c r="B10" s="11" t="n">
        <x:v>46174.93744258102</x:v>
      </x:c>
      <x:c r="C10" s="10"/>
      <x:c r="D10" s="10" t="str">
        <x:v>UAT Kanban aprobado</x:v>
      </x:c>
      <x:c r="E10" s="10" t="str">
        <x:v>&gt;= 95%</x:v>
      </x:c>
      <x:c r="F10" s="17" t="n">
        <x:f>IFERROR(COUNTIFS(UAT!B2:B200,"Kanban",UAT!J2:J200,"Aprobado")/COUNTIF(UAT!B2:B200,"Kanban"),0)</x:f>
        <x:v>0</x:v>
      </x:c>
      <x:c r="G10" s="10" t="str">
        <x:f>IF(F10&gt;=0.95,"Verde",IF(F10&gt;=0.85,"Amarillo","Rojo"))</x:f>
        <x:v>Rojo</x:v>
      </x:c>
      <x:c r="H10" s="10" t="str">
        <x:v>Cobertura de acciones, estados y filtros</x:v>
      </x:c>
    </x:row>
    <x:row r="11">
      <x:c r="A11" s="10"/>
      <x:c r="B11" s="10"/>
      <x:c r="C11" s="10"/>
      <x:c r="D11" s="10" t="str">
        <x:v>UAT Academia aprobado</x:v>
      </x:c>
      <x:c r="E11" s="10" t="str">
        <x:v>&gt;= 95%</x:v>
      </x:c>
      <x:c r="F11" s="17" t="n">
        <x:f>IFERROR(COUNTIFS(UAT!B2:B200,"Academia",UAT!J2:J200,"Aprobado")/COUNTIF(UAT!B2:B200,"Academia"),0)</x:f>
        <x:v>0</x:v>
      </x:c>
      <x:c r="G11" s="10" t="str">
        <x:f>IF(F11&gt;=0.95,"Verde",IF(F11&gt;=0.85,"Amarillo","Rojo"))</x:f>
        <x:v>Rojo</x:v>
      </x:c>
      <x:c r="H11" s="10" t="str">
        <x:v>Cobertura de progreso, modulos y quiz</x:v>
      </x:c>
    </x:row>
    <x:row r="12">
      <x:c r="A12" s="10"/>
      <x:c r="B12" s="10"/>
      <x:c r="C12" s="10"/>
      <x:c r="D12" s="10" t="str">
        <x:v>UAT Calendario aprobado</x:v>
      </x:c>
      <x:c r="E12" s="10" t="str">
        <x:v>&gt;= 95%</x:v>
      </x:c>
      <x:c r="F12" s="17" t="n">
        <x:f>IFERROR(COUNTIFS(UAT!B2:B200,"Calendario",UAT!J2:J200,"Aprobado")/COUNTIF(UAT!B2:B200,"Calendario"),0)</x:f>
        <x:v>0</x:v>
      </x:c>
      <x:c r="G12" s="10" t="str">
        <x:f>IF(F12&gt;=0.95,"Verde",IF(F12&gt;=0.85,"Amarillo","Rojo"))</x:f>
        <x:v>Rojo</x:v>
      </x:c>
      <x:c r="H12" s="10" t="str">
        <x:v>Cobertura de calendario, recordatorios y minutas</x:v>
      </x:c>
    </x:row>
    <x:row r="13">
      <x:c r="A13" s="10"/>
      <x:c r="B13" s="10"/>
      <x:c r="C13" s="10"/>
      <x:c r="D13" s="10" t="str">
        <x:v>Bloqueadores por modulo</x:v>
      </x:c>
      <x:c r="E13" s="10" t="str">
        <x:v>0</x:v>
      </x:c>
      <x:c r="F13" s="10" t="n">
        <x:f>COUNTIF(UAT!J2:J200,"Bloqueado")</x:f>
        <x:v>0</x:v>
      </x:c>
      <x:c r="G13" s="10" t="str">
        <x:f>IF(F13=0,"Verde",IF(F13&lt;=2,"Amarillo","Rojo"))</x:f>
        <x:v>Verde</x:v>
      </x:c>
      <x:c r="H13" s="10" t="str">
        <x:v>Casos UAT bloqueados por modulo</x:v>
      </x:c>
    </x:row>
    <x:row r="14">
      <x:c r="A14" s="10"/>
      <x:c r="B14" s="10"/>
      <x:c r="C14" s="10"/>
      <x:c r="D14" s="10" t="str">
        <x:v>Adopcion inicial</x:v>
      </x:c>
      <x:c r="E14" s="10" t="str">
        <x:v>&gt;= 80%</x:v>
      </x:c>
      <x:c r="F14" s="10" t="str"/>
      <x:c r="G14" s="10" t="str"/>
      <x:c r="H14" s="10" t="str">
        <x:v>Medir con acciones creadas / actualizadas por analistas</x:v>
      </x:c>
    </x:row>
    <x:row r="15">
      <x:c r="A15" s="10"/>
      <x:c r="B15" s="10"/>
      <x:c r="C15" s="10"/>
      <x:c r="D15" s="10" t="str">
        <x:v>Decision Go/No-Go</x:v>
      </x:c>
      <x:c r="E15" s="10" t="str">
        <x:v>Go si cumple criterios</x:v>
      </x:c>
      <x:c r="F15" s="10" t="str"/>
      <x:c r="G15" s="10" t="str"/>
      <x:c r="H15" s="10" t="str">
        <x:v>Actualizar al cierre de UAT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4.380000114440918" hidden="0" customWidth="1"/>
    <x:col min="3" max="3" width="11.880000114440918" hidden="0" customWidth="1"/>
    <x:col min="4" max="4" width="28.75" hidden="0" customWidth="1"/>
    <x:col min="5" max="5" width="36.25" hidden="0" customWidth="1"/>
    <x:col min="6" max="6" width="21.25" hidden="0" customWidth="1"/>
    <x:col min="7" max="7" width="20" hidden="0" customWidth="1"/>
    <x:col min="8" max="8" width="14.380000114440918" hidden="0" customWidth="1"/>
    <x:col min="9" max="9" width="35" hidden="0" customWidth="1"/>
    <x:col min="10" max="10" width="28.75" hidden="0" customWidth="1"/>
  </x:cols>
  <x:sheetData>
    <x:row r="1">
      <x:c r="A1" s="20" t="str">
        <x:v>ID</x:v>
      </x:c>
      <x:c r="B1" s="20" t="str">
        <x:v>Fase</x:v>
      </x:c>
      <x:c r="C1" s="20" t="str">
        <x:v>Semana</x:v>
      </x:c>
      <x:c r="D1" s="20" t="str">
        <x:v>Actividad</x:v>
      </x:c>
      <x:c r="E1" s="20" t="str">
        <x:v>Objetivo</x:v>
      </x:c>
      <x:c r="F1" s="20" t="str">
        <x:v>Responsable</x:v>
      </x:c>
      <x:c r="G1" s="20" t="str">
        <x:v>Entregable</x:v>
      </x:c>
      <x:c r="H1" s="20" t="str">
        <x:v>Estado</x:v>
      </x:c>
      <x:c r="I1" s="20" t="str">
        <x:v>Criterio de cierre</x:v>
      </x:c>
      <x:c r="J1" s="20" t="str">
        <x:v>Notas</x:v>
      </x:c>
    </x:row>
    <x:row r="2">
      <x:c r="A2" s="10" t="str">
        <x:v>P01</x:v>
      </x:c>
      <x:c r="B2" s="10" t="str">
        <x:v>Preparacion</x:v>
      </x:c>
      <x:c r="C2" s="10" t="str">
        <x:v>Semana 1</x:v>
      </x:c>
      <x:c r="D2" s="10" t="str">
        <x:v>Confirmar alcance de rol Analista</x:v>
      </x:c>
      <x:c r="E2" s="10" t="str">
        <x:v>Alinear lo que ve y opera el analista en v1</x:v>
      </x:c>
      <x:c r="F2" s="10" t="str">
        <x:v>Scrum Master / Owner</x:v>
      </x:c>
      <x:c r="G2" s="10" t="str">
        <x:v>Alcance firmado</x:v>
      </x:c>
      <x:c r="H2" s="10" t="str">
        <x:v>Pendiente</x:v>
      </x:c>
      <x:c r="I2" s="10" t="str">
        <x:v>Permisos y modulos confirmados</x:v>
      </x:c>
      <x:c r="J2" s="10" t="str"/>
    </x:row>
    <x:row r="3">
      <x:c r="A3" s="10" t="str">
        <x:v>P02</x:v>
      </x:c>
      <x:c r="B3" s="10" t="str">
        <x:v>Preparacion</x:v>
      </x:c>
      <x:c r="C3" s="10" t="str">
        <x:v>Semana 1</x:v>
      </x:c>
      <x:c r="D3" s="10" t="str">
        <x:v>Definir usuarios piloto por area</x:v>
      </x:c>
      <x:c r="E3" s="10" t="str">
        <x:v>Seleccionar muestra representativa</x:v>
      </x:c>
      <x:c r="F3" s="10" t="str">
        <x:v>Scrum Master</x:v>
      </x:c>
      <x:c r="G3" s="10" t="str">
        <x:v>Lista de usuarios</x:v>
      </x:c>
      <x:c r="H3" s="10" t="str">
        <x:v>Pendiente</x:v>
      </x:c>
      <x:c r="I3" s="10" t="str">
        <x:v>Usuarios nominados y agenda aceptada</x:v>
      </x:c>
      <x:c r="J3" s="10" t="str"/>
    </x:row>
    <x:row r="4">
      <x:c r="A4" s="10" t="str">
        <x:v>P03</x:v>
      </x:c>
      <x:c r="B4" s="10" t="str">
        <x:v>Preparacion</x:v>
      </x:c>
      <x:c r="C4" s="10" t="str">
        <x:v>Semana 1</x:v>
      </x:c>
      <x:c r="D4" s="10" t="str">
        <x:v>Preparar datos iniciales</x:v>
      </x:c>
      <x:c r="E4" s="10" t="str">
        <x:v>Evitar UAT con tablero vacio</x:v>
      </x:c>
      <x:c r="F4" s="10" t="str">
        <x:v>Admin / Operaciones</x:v>
      </x:c>
      <x:c r="G4" s="10" t="str">
        <x:v>Datos semilla</x:v>
      </x:c>
      <x:c r="H4" s="10" t="str">
        <x:v>Pendiente</x:v>
      </x:c>
      <x:c r="I4" s="10" t="str">
        <x:v>Acciones, areas y prioridades disponibles</x:v>
      </x:c>
      <x:c r="J4" s="10" t="str"/>
    </x:row>
    <x:row r="5">
      <x:c r="A5" s="10" t="str">
        <x:v>P04</x:v>
      </x:c>
      <x:c r="B5" s="10" t="str">
        <x:v>Capacitacion</x:v>
      </x:c>
      <x:c r="C5" s="10" t="str">
        <x:v>Semana 1</x:v>
      </x:c>
      <x:c r="D5" s="10" t="str">
        <x:v>Sesion de introduccion al tablero</x:v>
      </x:c>
      <x:c r="E5" s="10" t="str">
        <x:v>Explicar objetivo, flujo y responsabilidades</x:v>
      </x:c>
      <x:c r="F5" s="10" t="str">
        <x:v>Scrum Master</x:v>
      </x:c>
      <x:c r="G5" s="10" t="str">
        <x:v>Sesion ejecutada</x:v>
      </x:c>
      <x:c r="H5" s="10" t="str">
        <x:v>Pendiente</x:v>
      </x:c>
      <x:c r="I5" s="10" t="str">
        <x:v>Asistencia registrada</x:v>
      </x:c>
      <x:c r="J5" s="10" t="str"/>
    </x:row>
    <x:row r="6">
      <x:c r="A6" s="10" t="str">
        <x:v>P05</x:v>
      </x:c>
      <x:c r="B6" s="10" t="str">
        <x:v>Capacitacion</x:v>
      </x:c>
      <x:c r="C6" s="10" t="str">
        <x:v>Semana 1</x:v>
      </x:c>
      <x:c r="D6" s="10" t="str">
        <x:v>Capacitacion practica de acciones RUN</x:v>
      </x:c>
      <x:c r="E6" s="10" t="str">
        <x:v>Que el analista capture, edite y filtre acciones</x:v>
      </x:c>
      <x:c r="F6" s="10" t="str">
        <x:v>Scrum Master</x:v>
      </x:c>
      <x:c r="G6" s="10" t="str">
        <x:v>Ejercicio guiado</x:v>
      </x:c>
      <x:c r="H6" s="10" t="str">
        <x:v>Pendiente</x:v>
      </x:c>
      <x:c r="I6" s="10" t="str">
        <x:v>Cada usuario completa 2 acciones de prueba</x:v>
      </x:c>
      <x:c r="J6" s="10" t="str"/>
    </x:row>
    <x:row r="7">
      <x:c r="A7" s="10" t="str">
        <x:v>P06</x:v>
      </x:c>
      <x:c r="B7" s="10" t="str">
        <x:v>UAT</x:v>
      </x:c>
      <x:c r="C7" s="10" t="str">
        <x:v>Semana 2</x:v>
      </x:c>
      <x:c r="D7" s="10" t="str">
        <x:v>Ejecutar pruebas de dashboard</x:v>
      </x:c>
      <x:c r="E7" s="10" t="str">
        <x:v>Validar Vision general y Pulso operativo</x:v>
      </x:c>
      <x:c r="F7" s="10" t="str">
        <x:v>Analistas piloto</x:v>
      </x:c>
      <x:c r="G7" s="10" t="str">
        <x:v>Evidencia UAT</x:v>
      </x:c>
      <x:c r="H7" s="10" t="str">
        <x:v>Pendiente</x:v>
      </x:c>
      <x:c r="I7" s="10" t="str">
        <x:v>Casos DSH aprobados</x:v>
      </x:c>
      <x:c r="J7" s="10" t="str"/>
    </x:row>
    <x:row r="8">
      <x:c r="A8" s="10" t="str">
        <x:v>P07</x:v>
      </x:c>
      <x:c r="B8" s="10" t="str">
        <x:v>UAT</x:v>
      </x:c>
      <x:c r="C8" s="10" t="str">
        <x:v>Semana 2</x:v>
      </x:c>
      <x:c r="D8" s="10" t="str">
        <x:v>Ejecutar pruebas de acciones</x:v>
      </x:c>
      <x:c r="E8" s="10" t="str">
        <x:v>Validar creacion, edicion y cierre de acciones</x:v>
      </x:c>
      <x:c r="F8" s="10" t="str">
        <x:v>Analistas piloto</x:v>
      </x:c>
      <x:c r="G8" s="10" t="str">
        <x:v>Evidencia UAT</x:v>
      </x:c>
      <x:c r="H8" s="10" t="str">
        <x:v>Pendiente</x:v>
      </x:c>
      <x:c r="I8" s="10" t="str">
        <x:v>Casos ACC aprobados</x:v>
      </x:c>
      <x:c r="J8" s="10" t="str"/>
    </x:row>
    <x:row r="9">
      <x:c r="A9" s="10" t="str">
        <x:v>P08</x:v>
      </x:c>
      <x:c r="B9" s="10" t="str">
        <x:v>UAT</x:v>
      </x:c>
      <x:c r="C9" s="10" t="str">
        <x:v>Semana 2</x:v>
      </x:c>
      <x:c r="D9" s="10" t="str">
        <x:v>Ejecutar pruebas de filtros</x:v>
      </x:c>
      <x:c r="E9" s="10" t="str">
        <x:v>Validar filtros por fecha, estado, prioridad, area, creador y responsable</x:v>
      </x:c>
      <x:c r="F9" s="10" t="str">
        <x:v>Analistas piloto</x:v>
      </x:c>
      <x:c r="G9" s="10" t="str">
        <x:v>Evidencia UAT</x:v>
      </x:c>
      <x:c r="H9" s="10" t="str">
        <x:v>Pendiente</x:v>
      </x:c>
      <x:c r="I9" s="10" t="str">
        <x:v>Casos FIL aprobados</x:v>
      </x:c>
      <x:c r="J9" s="10" t="str"/>
    </x:row>
    <x:row r="10">
      <x:c r="A10" s="10" t="str">
        <x:v>P09</x:v>
      </x:c>
      <x:c r="B10" s="10" t="str">
        <x:v>UAT</x:v>
      </x:c>
      <x:c r="C10" s="10" t="str">
        <x:v>Semana 2</x:v>
      </x:c>
      <x:c r="D10" s="10" t="str">
        <x:v>Levantar defectos y mejoras</x:v>
      </x:c>
      <x:c r="E10" s="10" t="str">
        <x:v>Separar bloqueadores de mejoras futuras</x:v>
      </x:c>
      <x:c r="F10" s="10" t="str">
        <x:v>Scrum Master</x:v>
      </x:c>
      <x:c r="G10" s="10" t="str">
        <x:v>Backlog de UAT</x:v>
      </x:c>
      <x:c r="H10" s="10" t="str">
        <x:v>Pendiente</x:v>
      </x:c>
      <x:c r="I10" s="10" t="str">
        <x:v>Defectos clasificados por severidad</x:v>
      </x:c>
      <x:c r="J10" s="10" t="str"/>
    </x:row>
    <x:row r="11">
      <x:c r="A11" s="10" t="str">
        <x:v>P10</x:v>
      </x:c>
      <x:c r="B11" s="10" t="str">
        <x:v>Ajustes</x:v>
      </x:c>
      <x:c r="C11" s="10" t="str">
        <x:v>Semana 3</x:v>
      </x:c>
      <x:c r="D11" s="10" t="str">
        <x:v>Corregir bloqueadores</x:v>
      </x:c>
      <x:c r="E11" s="10" t="str">
        <x:v>Eliminar impedimentos para salida</x:v>
      </x:c>
      <x:c r="F11" s="10" t="str">
        <x:v>Equipo tecnico</x:v>
      </x:c>
      <x:c r="G11" s="10" t="str">
        <x:v>Correcciones</x:v>
      </x:c>
      <x:c r="H11" s="10" t="str">
        <x:v>Pendiente</x:v>
      </x:c>
      <x:c r="I11" s="10" t="str">
        <x:v>0 bloqueadores abiertos</x:v>
      </x:c>
      <x:c r="J11" s="10" t="str"/>
    </x:row>
    <x:row r="12">
      <x:c r="A12" s="10" t="str">
        <x:v>P11</x:v>
      </x:c>
      <x:c r="B12" s="10" t="str">
        <x:v>Ajustes</x:v>
      </x:c>
      <x:c r="C12" s="10" t="str">
        <x:v>Semana 3</x:v>
      </x:c>
      <x:c r="D12" s="10" t="str">
        <x:v>Reprueba dirigida</x:v>
      </x:c>
      <x:c r="E12" s="10" t="str">
        <x:v>Confirmar que correcciones no rompen flujo</x:v>
      </x:c>
      <x:c r="F12" s="10" t="str">
        <x:v>Analistas piloto</x:v>
      </x:c>
      <x:c r="G12" s="10" t="str">
        <x:v>UAT actualizado</x:v>
      </x:c>
      <x:c r="H12" s="10" t="str">
        <x:v>Pendiente</x:v>
      </x:c>
      <x:c r="I12" s="10" t="str">
        <x:v>Casos fallidos reaprobados</x:v>
      </x:c>
      <x:c r="J12" s="10" t="str"/>
    </x:row>
    <x:row r="13">
      <x:c r="A13" s="10" t="str">
        <x:v>P12</x:v>
      </x:c>
      <x:c r="B13" s="10" t="str">
        <x:v>Salida</x:v>
      </x:c>
      <x:c r="C13" s="10" t="str">
        <x:v>Semana 3</x:v>
      </x:c>
      <x:c r="D13" s="10" t="str">
        <x:v>Cierre Go/No-Go</x:v>
      </x:c>
      <x:c r="E13" s="10" t="str">
        <x:v>Decidir liberacion a analistas</x:v>
      </x:c>
      <x:c r="F13" s="10" t="str">
        <x:v>Owner / Scrum Master</x:v>
      </x:c>
      <x:c r="G13" s="10" t="str">
        <x:v>Acta de cierre</x:v>
      </x:c>
      <x:c r="H13" s="10" t="str">
        <x:v>Pendiente</x:v>
      </x:c>
      <x:c r="I13" s="10" t="str">
        <x:v>Criterios de salida cumplidos</x:v>
      </x:c>
      <x:c r="J13" s="10" t="str"/>
    </x:row>
    <x:row r="14">
      <x:c r="A14" s="10" t="str">
        <x:v>P13</x:v>
      </x:c>
      <x:c r="B14" s="10" t="str">
        <x:v>Salida</x:v>
      </x:c>
      <x:c r="C14" s="10" t="str">
        <x:v>Semana 3</x:v>
      </x:c>
      <x:c r="D14" s="10" t="str">
        <x:v>Comunicacion de arranque</x:v>
      </x:c>
      <x:c r="E14" s="10" t="str">
        <x:v>Informar reglas de uso y soporte</x:v>
      </x:c>
      <x:c r="F14" s="10" t="str">
        <x:v>Scrum Master</x:v>
      </x:c>
      <x:c r="G14" s="10" t="str">
        <x:v>Comunicado</x:v>
      </x:c>
      <x:c r="H14" s="10" t="str">
        <x:v>Pendiente</x:v>
      </x:c>
      <x:c r="I14" s="10" t="str">
        <x:v>Usuarios informados</x:v>
      </x:c>
      <x:c r="J14" s="10" t="str"/>
    </x:row>
    <x:row r="15">
      <x:c r="A15" s="10" t="str">
        <x:v>P14</x:v>
      </x:c>
      <x:c r="B15" s="10" t="str">
        <x:v>Operacion</x:v>
      </x:c>
      <x:c r="C15" s="10" t="str">
        <x:v>Semana 3</x:v>
      </x:c>
      <x:c r="D15" s="10" t="str">
        <x:v>Primer seguimiento operativo</x:v>
      </x:c>
      <x:c r="E15" s="10" t="str">
        <x:v>Asegurar que el tablero se use en juntas</x:v>
      </x:c>
      <x:c r="F15" s="10" t="str">
        <x:v>Scrum Master</x:v>
      </x:c>
      <x:c r="G15" s="10" t="str">
        <x:v>Minuta de seguimiento</x:v>
      </x:c>
      <x:c r="H15" s="10" t="str">
        <x:v>Pendiente</x:v>
      </x:c>
      <x:c r="I15" s="10" t="str">
        <x:v>Hallazgos y siguientes acciones registrados</x:v>
      </x:c>
      <x:c r="J15" s="10" t="str"/>
    </x:row>
  </x:sheetData>
  <x:dataValidations count="1">
    <x:dataValidation type="list" sqref="H2:H100">
      <x:formula1>"Pendiente,En progreso,Hecho,Bloqueado"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3d5636b384c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5" hidden="0" customWidth="1"/>
    <x:col min="3" max="3" width="11.880000114440918" hidden="0" customWidth="1"/>
    <x:col min="4" max="4" width="31.25" hidden="0" customWidth="1"/>
    <x:col min="5" max="5" width="41.25" hidden="0" customWidth="1"/>
    <x:col min="6" max="6" width="21.25" hidden="0" customWidth="1"/>
    <x:col min="7" max="7" width="21.25" hidden="0" customWidth="1"/>
    <x:col min="8" max="8" width="22.5" hidden="0" customWidth="1"/>
    <x:col min="9" max="9" width="15" hidden="0" customWidth="1"/>
    <x:col min="10" max="10" width="40" hidden="0" customWidth="1"/>
  </x:cols>
  <x:sheetData>
    <x:row r="1">
      <x:c r="A1" s="20" t="str">
        <x:v>ID</x:v>
      </x:c>
      <x:c r="B1" s="20" t="str">
        <x:v>Modulo</x:v>
      </x:c>
      <x:c r="C1" s="20" t="str">
        <x:v>Semana</x:v>
      </x:c>
      <x:c r="D1" s="20" t="str">
        <x:v>Actividad</x:v>
      </x:c>
      <x:c r="E1" s="20" t="str">
        <x:v>Objetivo funcional</x:v>
      </x:c>
      <x:c r="F1" s="20" t="str">
        <x:v>Audiencia</x:v>
      </x:c>
      <x:c r="G1" s="20" t="str">
        <x:v>Responsable</x:v>
      </x:c>
      <x:c r="H1" s="20" t="str">
        <x:v>Entregable</x:v>
      </x:c>
      <x:c r="I1" s="20" t="str">
        <x:v>Estado</x:v>
      </x:c>
      <x:c r="J1" s="20" t="str">
        <x:v>Criterio de cierre</x:v>
      </x:c>
    </x:row>
    <x:row r="2">
      <x:c r="A2" s="10" t="str">
        <x:v>PM-D01</x:v>
      </x:c>
      <x:c r="B2" s="10" t="str">
        <x:v>Dashboard</x:v>
      </x:c>
      <x:c r="C2" s="10" t="str">
        <x:v>Semana 1</x:v>
      </x:c>
      <x:c r="D2" s="10" t="str">
        <x:v>Validar acceso de Analista a /dashboard</x:v>
      </x:c>
      <x:c r="E2" s="10" t="str">
        <x:v>Confirmar que la entrada principal del rol es Vision general.</x:v>
      </x:c>
      <x:c r="F2" s="10" t="str">
        <x:v>Analistas piloto</x:v>
      </x:c>
      <x:c r="G2" s="10" t="str">
        <x:v>Scrum Master</x:v>
      </x:c>
      <x:c r="H2" s="10" t="str">
        <x:v>Acceso validado</x:v>
      </x:c>
      <x:c r="I2" s="10" t="str">
        <x:v>Pendiente</x:v>
      </x:c>
      <x:c r="J2" s="10" t="str">
        <x:v>Usuario analista entra sin error y queda en dashboard.</x:v>
      </x:c>
    </x:row>
    <x:row r="3">
      <x:c r="A3" s="10" t="str">
        <x:v>PM-D02</x:v>
      </x:c>
      <x:c r="B3" s="10" t="str">
        <x:v>Dashboard</x:v>
      </x:c>
      <x:c r="C3" s="10" t="str">
        <x:v>Semana 1</x:v>
      </x:c>
      <x:c r="D3" s="10" t="str">
        <x:v>Explicar lectura de Pulso operativo</x:v>
      </x:c>
      <x:c r="E3" s="10" t="str">
        <x:v>Asegurar que el usuario entiende conteos, estados y resumen de acciones.</x:v>
      </x:c>
      <x:c r="F3" s="10" t="str">
        <x:v>Analistas piloto</x:v>
      </x:c>
      <x:c r="G3" s="10" t="str">
        <x:v>Scrum Master</x:v>
      </x:c>
      <x:c r="H3" s="10" t="str">
        <x:v>Guia rapida</x:v>
      </x:c>
      <x:c r="I3" s="10" t="str">
        <x:v>Pendiente</x:v>
      </x:c>
      <x:c r="J3" s="10" t="str">
        <x:v>Usuario interpreta correctamente 3 indicadores.</x:v>
      </x:c>
    </x:row>
    <x:row r="4">
      <x:c r="A4" s="10" t="str">
        <x:v>PM-D03</x:v>
      </x:c>
      <x:c r="B4" s="10" t="str">
        <x:v>Dashboard</x:v>
      </x:c>
      <x:c r="C4" s="10" t="str">
        <x:v>Semana 1</x:v>
      </x:c>
      <x:c r="D4" s="10" t="str">
        <x:v>Practicar filtros desde dashboard</x:v>
      </x:c>
      <x:c r="E4" s="10" t="str">
        <x:v>Usar busqueda, fechas, estado, prioridad, area, creada por y responsable.</x:v>
      </x:c>
      <x:c r="F4" s="10" t="str">
        <x:v>Analistas piloto</x:v>
      </x:c>
      <x:c r="G4" s="10" t="str">
        <x:v>Scrum Master</x:v>
      </x:c>
      <x:c r="H4" s="10" t="str">
        <x:v>Ejercicio completado</x:v>
      </x:c>
      <x:c r="I4" s="10" t="str">
        <x:v>Pendiente</x:v>
      </x:c>
      <x:c r="J4" s="10" t="str">
        <x:v>Filtro aplicado y resultado explicado por usuario.</x:v>
      </x:c>
    </x:row>
    <x:row r="5">
      <x:c r="A5" s="10" t="str">
        <x:v>PM-D04</x:v>
      </x:c>
      <x:c r="B5" s="10" t="str">
        <x:v>Dashboard</x:v>
      </x:c>
      <x:c r="C5" s="10" t="str">
        <x:v>Semana 2</x:v>
      </x:c>
      <x:c r="D5" s="10" t="str">
        <x:v>Validar visibilidad limitada</x:v>
      </x:c>
      <x:c r="E5" s="10" t="str">
        <x:v>Confirmar que no aparecen exportar, O2C ni enlaces a matriz restringidos.</x:v>
      </x:c>
      <x:c r="F5" s="10" t="str">
        <x:v>Analistas piloto</x:v>
      </x:c>
      <x:c r="G5" s="10" t="str">
        <x:v>Scrum Master / Tecnico</x:v>
      </x:c>
      <x:c r="H5" s="10" t="str">
        <x:v>Evidencia UAT</x:v>
      </x:c>
      <x:c r="I5" s="10" t="str">
        <x:v>Pendiente</x:v>
      </x:c>
      <x:c r="J5" s="10" t="str">
        <x:v>0 elementos restringidos visibles para Analista.</x:v>
      </x:c>
    </x:row>
    <x:row r="6">
      <x:c r="A6" s="10" t="str">
        <x:v>PM-K01</x:v>
      </x:c>
      <x:c r="B6" s="10" t="str">
        <x:v>Kanban</x:v>
      </x:c>
      <x:c r="C6" s="10" t="str">
        <x:v>Semana 1</x:v>
      </x:c>
      <x:c r="D6" s="10" t="str">
        <x:v>Capacitar creacion de accion RUN</x:v>
      </x:c>
      <x:c r="E6" s="10" t="str">
        <x:v>Capturar accion con responsable, fecha/hora, prioridad, area y story points.</x:v>
      </x:c>
      <x:c r="F6" s="10" t="str">
        <x:v>Analistas piloto</x:v>
      </x:c>
      <x:c r="G6" s="10" t="str">
        <x:v>Scrum Master</x:v>
      </x:c>
      <x:c r="H6" s="10" t="str">
        <x:v>Acciones de prueba</x:v>
      </x:c>
      <x:c r="I6" s="10" t="str">
        <x:v>Pendiente</x:v>
      </x:c>
      <x:c r="J6" s="10" t="str">
        <x:v>Cada usuario crea minimo 2 acciones completas.</x:v>
      </x:c>
    </x:row>
    <x:row r="7">
      <x:c r="A7" s="10" t="str">
        <x:v>PM-K02</x:v>
      </x:c>
      <x:c r="B7" s="10" t="str">
        <x:v>Kanban</x:v>
      </x:c>
      <x:c r="C7" s="10" t="str">
        <x:v>Semana 1</x:v>
      </x:c>
      <x:c r="D7" s="10" t="str">
        <x:v>Practicar edicion de acciones</x:v>
      </x:c>
      <x:c r="E7" s="10" t="str">
        <x:v>Editar prioridad, responsable, fecha y descripcion sin perder datos.</x:v>
      </x:c>
      <x:c r="F7" s="10" t="str">
        <x:v>Analistas piloto</x:v>
      </x:c>
      <x:c r="G7" s="10" t="str">
        <x:v>Scrum Master</x:v>
      </x:c>
      <x:c r="H7" s="10" t="str">
        <x:v>Acciones editadas</x:v>
      </x:c>
      <x:c r="I7" s="10" t="str">
        <x:v>Pendiente</x:v>
      </x:c>
      <x:c r="J7" s="10" t="str">
        <x:v>Cambios persisten al recargar.</x:v>
      </x:c>
    </x:row>
    <x:row r="8">
      <x:c r="A8" s="10" t="str">
        <x:v>PM-K03</x:v>
      </x:c>
      <x:c r="B8" s="10" t="str">
        <x:v>Kanban</x:v>
      </x:c>
      <x:c r="C8" s="10" t="str">
        <x:v>Semana 2</x:v>
      </x:c>
      <x:c r="D8" s="10" t="str">
        <x:v>Validar estados y tablero/lista</x:v>
      </x:c>
      <x:c r="E8" s="10" t="str">
        <x:v>Mover acciones y alternar vistas para seguimiento operativo.</x:v>
      </x:c>
      <x:c r="F8" s="10" t="str">
        <x:v>Analistas piloto</x:v>
      </x:c>
      <x:c r="G8" s="10" t="str">
        <x:v>Scrum Master</x:v>
      </x:c>
      <x:c r="H8" s="10" t="str">
        <x:v>Evidencia UAT</x:v>
      </x:c>
      <x:c r="I8" s="10" t="str">
        <x:v>Pendiente</x:v>
      </x:c>
      <x:c r="J8" s="10" t="str">
        <x:v>Estados y vistas reflejan la misma informacion.</x:v>
      </x:c>
    </x:row>
    <x:row r="9">
      <x:c r="A9" s="10" t="str">
        <x:v>PM-K04</x:v>
      </x:c>
      <x:c r="B9" s="10" t="str">
        <x:v>Kanban</x:v>
      </x:c>
      <x:c r="C9" s="10" t="str">
        <x:v>Semana 2</x:v>
      </x:c>
      <x:c r="D9" s="10" t="str">
        <x:v>Validar filtros operativos</x:v>
      </x:c>
      <x:c r="E9" s="10" t="str">
        <x:v>Probar texto, rango de fechas, estado, prioridad, area, creada por y responsable.</x:v>
      </x:c>
      <x:c r="F9" s="10" t="str">
        <x:v>Analistas piloto</x:v>
      </x:c>
      <x:c r="G9" s="10" t="str">
        <x:v>Scrum Master</x:v>
      </x:c>
      <x:c r="H9" s="10" t="str">
        <x:v>Evidencia UAT</x:v>
      </x:c>
      <x:c r="I9" s="10" t="str">
        <x:v>Pendiente</x:v>
      </x:c>
      <x:c r="J9" s="10" t="str">
        <x:v>Cada filtro devuelve resultados esperados.</x:v>
      </x:c>
    </x:row>
    <x:row r="10">
      <x:c r="A10" s="10" t="str">
        <x:v>PM-A01</x:v>
      </x:c>
      <x:c r="B10" s="10" t="str">
        <x:v>Academia</x:v>
      </x:c>
      <x:c r="C10" s="10" t="str">
        <x:v>Semana 1</x:v>
      </x:c>
      <x:c r="D10" s="10" t="str">
        <x:v>Introducir ruta de aprendizaje</x:v>
      </x:c>
      <x:c r="E10" s="10" t="str">
        <x:v>Explicar progreso, modulos, pasos y quiz.</x:v>
      </x:c>
      <x:c r="F10" s="10" t="str">
        <x:v>Analistas piloto</x:v>
      </x:c>
      <x:c r="G10" s="10" t="str">
        <x:v>Scrum Master</x:v>
      </x:c>
      <x:c r="H10" s="10" t="str">
        <x:v>Sesion completada</x:v>
      </x:c>
      <x:c r="I10" s="10" t="str">
        <x:v>Pendiente</x:v>
      </x:c>
      <x:c r="J10" s="10" t="str">
        <x:v>Usuario entiende como avanzar y que se guarda por persona.</x:v>
      </x:c>
    </x:row>
    <x:row r="11">
      <x:c r="A11" s="10" t="str">
        <x:v>PM-A02</x:v>
      </x:c>
      <x:c r="B11" s="10" t="str">
        <x:v>Academia</x:v>
      </x:c>
      <x:c r="C11" s="10" t="str">
        <x:v>Semana 2</x:v>
      </x:c>
      <x:c r="D11" s="10" t="str">
        <x:v>Validar progreso por usuario</x:v>
      </x:c>
      <x:c r="E11" s="10" t="str">
        <x:v>Marcar pasos, completar quiz y confirmar persistencia.</x:v>
      </x:c>
      <x:c r="F11" s="10" t="str">
        <x:v>Analistas piloto</x:v>
      </x:c>
      <x:c r="G11" s="10" t="str">
        <x:v>Scrum Master</x:v>
      </x:c>
      <x:c r="H11" s="10" t="str">
        <x:v>Evidencia UAT</x:v>
      </x:c>
      <x:c r="I11" s="10" t="str">
        <x:v>Pendiente</x:v>
      </x:c>
      <x:c r="J11" s="10" t="str">
        <x:v>Progreso se conserva despues de recargar o volver a entrar.</x:v>
      </x:c>
    </x:row>
    <x:row r="12">
      <x:c r="A12" s="10" t="str">
        <x:v>PM-A03</x:v>
      </x:c>
      <x:c r="B12" s="10" t="str">
        <x:v>Academia</x:v>
      </x:c>
      <x:c r="C12" s="10" t="str">
        <x:v>Semana 2</x:v>
      </x:c>
      <x:c r="D12" s="10" t="str">
        <x:v>Validar desbloqueo progresivo</x:v>
      </x:c>
      <x:c r="E12" s="10" t="str">
        <x:v>Confirmar que modulos bloqueados no se completan antes de aprobar quiz previo.</x:v>
      </x:c>
      <x:c r="F12" s="10" t="str">
        <x:v>Analistas piloto</x:v>
      </x:c>
      <x:c r="G12" s="10" t="str">
        <x:v>Scrum Master</x:v>
      </x:c>
      <x:c r="H12" s="10" t="str">
        <x:v>Evidencia UAT</x:v>
      </x:c>
      <x:c r="I12" s="10" t="str">
        <x:v>Pendiente</x:v>
      </x:c>
      <x:c r="J12" s="10" t="str">
        <x:v>Modulo siguiente se desbloquea solo con quiz aprobado.</x:v>
      </x:c>
    </x:row>
    <x:row r="13">
      <x:c r="A13" s="10" t="str">
        <x:v>PM-C01</x:v>
      </x:c>
      <x:c r="B13" s="10" t="str">
        <x:v>Calendario</x:v>
      </x:c>
      <x:c r="C13" s="10" t="str">
        <x:v>Semana 1</x:v>
      </x:c>
      <x:c r="D13" s="10" t="str">
        <x:v>Explicar vista mensual</x:v>
      </x:c>
      <x:c r="E13" s="10" t="str">
        <x:v>Navegar meses y seleccionar dias para revisar elementos.</x:v>
      </x:c>
      <x:c r="F13" s="10" t="str">
        <x:v>Analistas piloto</x:v>
      </x:c>
      <x:c r="G13" s="10" t="str">
        <x:v>Scrum Master</x:v>
      </x:c>
      <x:c r="H13" s="10" t="str">
        <x:v>Sesion completada</x:v>
      </x:c>
      <x:c r="I13" s="10" t="str">
        <x:v>Pendiente</x:v>
      </x:c>
      <x:c r="J13" s="10" t="str">
        <x:v>Usuario navega y selecciona dia sin ayuda.</x:v>
      </x:c>
    </x:row>
    <x:row r="14">
      <x:c r="A14" s="10" t="str">
        <x:v>PM-C02</x:v>
      </x:c>
      <x:c r="B14" s="10" t="str">
        <x:v>Calendario</x:v>
      </x:c>
      <x:c r="C14" s="10" t="str">
        <x:v>Semana 2</x:v>
      </x:c>
      <x:c r="D14" s="10" t="str">
        <x:v>Validar filtros del calendario</x:v>
      </x:c>
      <x:c r="E14" s="10" t="str">
        <x:v>Filtrar acciones, recordatorios, minutas, area, responsable y estado.</x:v>
      </x:c>
      <x:c r="F14" s="10" t="str">
        <x:v>Analistas piloto</x:v>
      </x:c>
      <x:c r="G14" s="10" t="str">
        <x:v>Scrum Master</x:v>
      </x:c>
      <x:c r="H14" s="10" t="str">
        <x:v>Evidencia UAT</x:v>
      </x:c>
      <x:c r="I14" s="10" t="str">
        <x:v>Pendiente</x:v>
      </x:c>
      <x:c r="J14" s="10" t="str">
        <x:v>Filtros muestran solo elementos esperados.</x:v>
      </x:c>
    </x:row>
    <x:row r="15">
      <x:c r="A15" s="10" t="str">
        <x:v>PM-C03</x:v>
      </x:c>
      <x:c r="B15" s="10" t="str">
        <x:v>Calendario</x:v>
      </x:c>
      <x:c r="C15" s="10" t="str">
        <x:v>Semana 2</x:v>
      </x:c>
      <x:c r="D15" s="10" t="str">
        <x:v>Validar captura de recordatorios y minutas</x:v>
      </x:c>
      <x:c r="E15" s="10" t="str">
        <x:v>Crear informacion de seguimiento desde el dia seleccionado.</x:v>
      </x:c>
      <x:c r="F15" s="10" t="str">
        <x:v>Analistas piloto</x:v>
      </x:c>
      <x:c r="G15" s="10" t="str">
        <x:v>Scrum Master</x:v>
      </x:c>
      <x:c r="H15" s="10" t="str">
        <x:v>Recordatorio/minuta</x:v>
      </x:c>
      <x:c r="I15" s="10" t="str">
        <x:v>Pendiente</x:v>
      </x:c>
      <x:c r="J15" s="10" t="str">
        <x:v>Elemento creado aparece en el dia correcto.</x:v>
      </x:c>
    </x:row>
    <x:row r="16">
      <x:c r="A16" s="10" t="str">
        <x:v>PM-C04</x:v>
      </x:c>
      <x:c r="B16" s="10" t="str">
        <x:v>Calendario</x:v>
      </x:c>
      <x:c r="C16" s="10" t="str">
        <x:v>Semana 2</x:v>
      </x:c>
      <x:c r="D16" s="10" t="str">
        <x:v>Validar edicion de acciones desde calendario</x:v>
      </x:c>
      <x:c r="E16" s="10" t="str">
        <x:v>Abrir accion del dia y editarla sin salir del flujo.</x:v>
      </x:c>
      <x:c r="F16" s="10" t="str">
        <x:v>Analistas piloto</x:v>
      </x:c>
      <x:c r="G16" s="10" t="str">
        <x:v>Scrum Master</x:v>
      </x:c>
      <x:c r="H16" s="10" t="str">
        <x:v>Evidencia UAT</x:v>
      </x:c>
      <x:c r="I16" s="10" t="str">
        <x:v>Pendiente</x:v>
      </x:c>
      <x:c r="J16" s="10" t="str">
        <x:v>Accion editada conserva cambios en calendario y kanban.</x:v>
      </x:c>
    </x:row>
  </x:sheetData>
  <x:dataValidations count="1">
    <x:dataValidation type="list" sqref="I2:I100">
      <x:formula1>"Pendiente,En progreso,Hecho,Bloqueado"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bf967d99e64e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6.8799991607666" hidden="0" customWidth="1"/>
    <x:col min="3" max="3" width="38.75" hidden="0" customWidth="1"/>
    <x:col min="4" max="4" width="28.75" hidden="0" customWidth="1"/>
    <x:col min="5" max="5" width="41.25" hidden="0" customWidth="1"/>
    <x:col min="6" max="6" width="40" hidden="0" customWidth="1"/>
    <x:col min="7" max="7" width="21.25" hidden="0" customWidth="1"/>
    <x:col min="8" max="8" width="20" hidden="0" customWidth="1"/>
    <x:col min="9" max="9" width="15" hidden="0" customWidth="1"/>
    <x:col min="10" max="10" width="13.75" hidden="0" customWidth="1"/>
    <x:col min="11" max="11" width="26.25" hidden="0" customWidth="1"/>
    <x:col min="12" max="12" width="11.25" hidden="0" customWidth="1"/>
    <x:col min="13" max="13" width="35" hidden="0" customWidth="1"/>
    <x:col min="14" max="14" width="17.5" hidden="0" customWidth="1"/>
  </x:cols>
  <x:sheetData>
    <x:row r="1">
      <x:c r="A1" s="20" t="str">
        <x:v>ID Caso</x:v>
      </x:c>
      <x:c r="B1" s="20" t="str">
        <x:v>Modulo</x:v>
      </x:c>
      <x:c r="C1" s="20" t="str">
        <x:v>Historia / Necesidad</x:v>
      </x:c>
      <x:c r="D1" s="20" t="str">
        <x:v>Precondicion</x:v>
      </x:c>
      <x:c r="E1" s="20" t="str">
        <x:v>Pasos de prueba</x:v>
      </x:c>
      <x:c r="F1" s="20" t="str">
        <x:v>Resultado esperado</x:v>
      </x:c>
      <x:c r="G1" s="20" t="str">
        <x:v>Datos de prueba</x:v>
      </x:c>
      <x:c r="H1" s="20" t="str">
        <x:v>Responsable</x:v>
      </x:c>
      <x:c r="I1" s="20" t="str">
        <x:v>Fecha planeada</x:v>
      </x:c>
      <x:c r="J1" s="20" t="str">
        <x:v>Resultado</x:v>
      </x:c>
      <x:c r="K1" s="20" t="str">
        <x:v>Evidencia / URL</x:v>
      </x:c>
      <x:c r="L1" s="20" t="str">
        <x:v>Severidad</x:v>
      </x:c>
      <x:c r="M1" s="20" t="str">
        <x:v>Defecto / Observacion</x:v>
      </x:c>
      <x:c r="N1" s="20" t="str">
        <x:v>Reprueba</x:v>
      </x:c>
    </x:row>
    <x:row r="2">
      <x:c r="A2" s="10" t="str">
        <x:v>DSH-01</x:v>
      </x:c>
      <x:c r="B2" s="10" t="str">
        <x:v>Dashboard</x:v>
      </x:c>
      <x:c r="C2" s="10" t="str">
        <x:v>Como analista quiero entrar al dashboard para revisar la operacion.</x:v>
      </x:c>
      <x:c r="D2" s="10" t="str">
        <x:v>Usuario con rol Analista activo.</x:v>
      </x:c>
      <x:c r="E2" s="10" t="str">
        <x:v>1) Iniciar sesion como Analista. 2) Abrir /dashboard. 3) Esperar carga completa.</x:v>
      </x:c>
      <x:c r="F2" s="10" t="str">
        <x:v>El dashboard carga en Vision general sin error y muestra contenido operativo.</x:v>
      </x:c>
      <x:c r="G2" s="10" t="str">
        <x:v>Usuario analista</x:v>
      </x:c>
      <x:c r="H2" s="10" t="str">
        <x:v>Analista piloto</x:v>
      </x:c>
      <x:c r="I2" s="11" t="str"/>
      <x:c r="J2" s="10" t="str">
        <x:v>Pendiente</x:v>
      </x:c>
      <x:c r="K2" s="10" t="str"/>
      <x:c r="L2" s="10" t="str">
        <x:v>Critica</x:v>
      </x:c>
      <x:c r="M2" s="10" t="str"/>
      <x:c r="N2" s="10" t="str"/>
    </x:row>
    <x:row r="3">
      <x:c r="A3" s="10" t="str">
        <x:v>DSH-02</x:v>
      </x:c>
      <x:c r="B3" s="10" t="str">
        <x:v>Dashboard</x:v>
      </x:c>
      <x:c r="C3" s="10" t="str">
        <x:v>Como analista no debo ver funciones restringidas.</x:v>
      </x:c>
      <x:c r="D3" s="10" t="str">
        <x:v>Sesion de Analista en /dashboard.</x:v>
      </x:c>
      <x:c r="E3" s="10" t="str">
        <x:v>1) Revisar encabezado. 2) Buscar boton Exportar. 3) Revisar secciones O2C ejecutivas y enlaces a matriz.</x:v>
      </x:c>
      <x:c r="F3" s="10" t="str">
        <x:v>No aparece Exportar, O2C restringido ni enlaces a matriz de impacto.</x:v>
      </x:c>
      <x:c r="G3" s="10" t="str">
        <x:v>Usuario analista</x:v>
      </x:c>
      <x:c r="H3" s="10" t="str">
        <x:v>Scrum Master</x:v>
      </x:c>
      <x:c r="I3" s="11" t="str"/>
      <x:c r="J3" s="10" t="str">
        <x:v>Pendiente</x:v>
      </x:c>
      <x:c r="K3" s="10" t="str"/>
      <x:c r="L3" s="10" t="str">
        <x:v>Critica</x:v>
      </x:c>
      <x:c r="M3" s="10" t="str"/>
      <x:c r="N3" s="10" t="str"/>
    </x:row>
    <x:row r="4">
      <x:c r="A4" s="10" t="str">
        <x:v>DSH-03</x:v>
      </x:c>
      <x:c r="B4" s="10" t="str">
        <x:v>Dashboard</x:v>
      </x:c>
      <x:c r="C4" s="10" t="str">
        <x:v>Como analista quiero ver Pulso operativo y resumen de acciones.</x:v>
      </x:c>
      <x:c r="D4" s="10" t="str">
        <x:v>Existen acciones de prueba.</x:v>
      </x:c>
      <x:c r="E4" s="10" t="str">
        <x:v>1) Abrir dashboard. 2) Ubicar Pulso operativo. 3) Revisar Resumen de acciones.</x:v>
      </x:c>
      <x:c r="F4" s="10" t="str">
        <x:v>Los conteos se muestran y son consistentes con las acciones visibles.</x:v>
      </x:c>
      <x:c r="G4" s="10" t="str">
        <x:v>Acciones en varios estados</x:v>
      </x:c>
      <x:c r="H4" s="10" t="str">
        <x:v>Analista piloto</x:v>
      </x:c>
      <x:c r="I4" s="11" t="str"/>
      <x:c r="J4" s="10" t="str">
        <x:v>Pendiente</x:v>
      </x:c>
      <x:c r="K4" s="10" t="str"/>
      <x:c r="L4" s="10" t="str">
        <x:v>Alta</x:v>
      </x:c>
      <x:c r="M4" s="10" t="str"/>
      <x:c r="N4" s="10" t="str"/>
    </x:row>
    <x:row r="5">
      <x:c r="A5" s="10" t="str">
        <x:v>DSH-04</x:v>
      </x:c>
      <x:c r="B5" s="10" t="str">
        <x:v>Dashboard</x:v>
      </x:c>
      <x:c r="C5" s="10" t="str">
        <x:v>Como analista quiero filtrar el dashboard por texto.</x:v>
      </x:c>
      <x:c r="D5" s="10" t="str">
        <x:v>Existen acciones con titulos distintos.</x:v>
      </x:c>
      <x:c r="E5" s="10" t="str">
        <x:v>1) Escribir un termino en busqueda. 2) Comparar resultados antes/despues.</x:v>
      </x:c>
      <x:c r="F5" s="10" t="str">
        <x:v>El resumen cambia y solo muestra acciones relacionadas con el termino.</x:v>
      </x:c>
      <x:c r="G5" s="10" t="str">
        <x:v>Buscar: reporte</x:v>
      </x:c>
      <x:c r="H5" s="10" t="str">
        <x:v>Analista piloto</x:v>
      </x:c>
      <x:c r="I5" s="11" t="str"/>
      <x:c r="J5" s="10" t="str">
        <x:v>Pendiente</x:v>
      </x:c>
      <x:c r="K5" s="10" t="str"/>
      <x:c r="L5" s="10" t="str">
        <x:v>Media</x:v>
      </x:c>
      <x:c r="M5" s="10" t="str"/>
      <x:c r="N5" s="10" t="str"/>
    </x:row>
    <x:row r="6">
      <x:c r="A6" s="10" t="str">
        <x:v>DSH-05</x:v>
      </x:c>
      <x:c r="B6" s="10" t="str">
        <x:v>Dashboard</x:v>
      </x:c>
      <x:c r="C6" s="10" t="str">
        <x:v>Como analista quiero filtrar por rango de fechas.</x:v>
      </x:c>
      <x:c r="D6" s="10" t="str">
        <x:v>Existen acciones con fechas limite distintas.</x:v>
      </x:c>
      <x:c r="E6" s="10" t="str">
        <x:v>1) Seleccionar fecha Desde. 2) Seleccionar fecha Hasta. 3) Revisar tarjetas/resumen.</x:v>
      </x:c>
      <x:c r="F6" s="10" t="str">
        <x:v>Los resultados quedan dentro del rango de fecha limite seleccionado.</x:v>
      </x:c>
      <x:c r="G6" s="10" t="str">
        <x:v>Rango semanal</x:v>
      </x:c>
      <x:c r="H6" s="10" t="str">
        <x:v>Analista piloto</x:v>
      </x:c>
      <x:c r="I6" s="11" t="str"/>
      <x:c r="J6" s="10" t="str">
        <x:v>Pendiente</x:v>
      </x:c>
      <x:c r="K6" s="10" t="str"/>
      <x:c r="L6" s="10" t="str">
        <x:v>Alta</x:v>
      </x:c>
      <x:c r="M6" s="10" t="str"/>
      <x:c r="N6" s="10" t="str"/>
    </x:row>
    <x:row r="7">
      <x:c r="A7" s="10" t="str">
        <x:v>DSH-06</x:v>
      </x:c>
      <x:c r="B7" s="10" t="str">
        <x:v>Dashboard</x:v>
      </x:c>
      <x:c r="C7" s="10" t="str">
        <x:v>Como analista quiero aplicar filtros avanzados.</x:v>
      </x:c>
      <x:c r="D7" s="10" t="str">
        <x:v>Existen acciones con diferentes estados, prioridades, areas y responsables.</x:v>
      </x:c>
      <x:c r="E7" s="10" t="str">
        <x:v>1) Expandir filtros. 2) Seleccionar estado, prioridad, area, creada por y responsable. 3) Limpiar filtros.</x:v>
      </x:c>
      <x:c r="F7" s="10" t="str">
        <x:v>Cada filtro reduce resultados correctamente y Limpiar restablece la vista.</x:v>
      </x:c>
      <x:c r="G7" s="10" t="str">
        <x:v>Catalogos activos</x:v>
      </x:c>
      <x:c r="H7" s="10" t="str">
        <x:v>Analista piloto</x:v>
      </x:c>
      <x:c r="I7" s="11" t="str"/>
      <x:c r="J7" s="10" t="str">
        <x:v>Pendiente</x:v>
      </x:c>
      <x:c r="K7" s="10" t="str"/>
      <x:c r="L7" s="10" t="str">
        <x:v>Alta</x:v>
      </x:c>
      <x:c r="M7" s="10" t="str"/>
      <x:c r="N7" s="10" t="str"/>
    </x:row>
    <x:row r="8">
      <x:c r="A8" s="10" t="str">
        <x:v>DSH-07</x:v>
      </x:c>
      <x:c r="B8" s="10" t="str">
        <x:v>Dashboard</x:v>
      </x:c>
      <x:c r="C8" s="10" t="str">
        <x:v>Como analista quiero abrir una accion desde el dashboard.</x:v>
      </x:c>
      <x:c r="D8" s="10" t="str">
        <x:v>Existe accion visible en Resumen de acciones.</x:v>
      </x:c>
      <x:c r="E8" s="10" t="str">
        <x:v>1) Seleccionar una accion. 2) Revisar modal/formulario. 3) Cerrar sin guardar.</x:v>
      </x:c>
      <x:c r="F8" s="10" t="str">
        <x:v>La accion abre con sus datos y puede cerrarse sin alterar informacion.</x:v>
      </x:c>
      <x:c r="G8" s="10" t="str">
        <x:v>Accion existente</x:v>
      </x:c>
      <x:c r="H8" s="10" t="str">
        <x:v>Analista piloto</x:v>
      </x:c>
      <x:c r="I8" s="11" t="str"/>
      <x:c r="J8" s="10" t="str">
        <x:v>Pendiente</x:v>
      </x:c>
      <x:c r="K8" s="10" t="str"/>
      <x:c r="L8" s="10" t="str">
        <x:v>Media</x:v>
      </x:c>
      <x:c r="M8" s="10" t="str"/>
      <x:c r="N8" s="10" t="str"/>
    </x:row>
    <x:row r="9">
      <x:c r="A9" s="10" t="str">
        <x:v>KAN-01</x:v>
      </x:c>
      <x:c r="B9" s="10" t="str">
        <x:v>Kanban</x:v>
      </x:c>
      <x:c r="C9" s="10" t="str">
        <x:v>Como analista quiero crear una accion RUN completa.</x:v>
      </x:c>
      <x:c r="D9" s="10" t="str">
        <x:v>Catalogos activos: usuarios, areas y prioridades.</x:v>
      </x:c>
      <x:c r="E9" s="10" t="str">
        <x:v>1) Abrir /kanban. 2) Clic Nueva accion. 3) Capturar titulo, responsable, dia/hora limite, prioridad, area y story points. 4) Guardar.</x:v>
      </x:c>
      <x:c r="F9" s="10" t="str">
        <x:v>La accion se guarda y aparece en tablero/lista con la informacion capturada.</x:v>
      </x:c>
      <x:c r="G9" s="10" t="str">
        <x:v>Titulo: Validar reporte semanal</x:v>
      </x:c>
      <x:c r="H9" s="10" t="str">
        <x:v>Analista piloto</x:v>
      </x:c>
      <x:c r="I9" s="11" t="str"/>
      <x:c r="J9" s="10" t="str">
        <x:v>Pendiente</x:v>
      </x:c>
      <x:c r="K9" s="10" t="str"/>
      <x:c r="L9" s="10" t="str">
        <x:v>Critica</x:v>
      </x:c>
      <x:c r="M9" s="10" t="str"/>
      <x:c r="N9" s="10" t="str"/>
    </x:row>
    <x:row r="10">
      <x:c r="A10" s="10" t="str">
        <x:v>KAN-02</x:v>
      </x:c>
      <x:c r="B10" s="10" t="str">
        <x:v>Kanban</x:v>
      </x:c>
      <x:c r="C10" s="10" t="str">
        <x:v>Como analista quiero editar una accion existente.</x:v>
      </x:c>
      <x:c r="D10" s="10" t="str">
        <x:v>Accion RUN existente visible.</x:v>
      </x:c>
      <x:c r="E10" s="10" t="str">
        <x:v>1) Abrir accion. 2) Cambiar prioridad o responsable. 3) Guardar. 4) Recargar vista.</x:v>
      </x:c>
      <x:c r="F10" s="10" t="str">
        <x:v>Los cambios persisten y se reflejan en la tarjeta/lista.</x:v>
      </x:c>
      <x:c r="G10" s="10" t="str">
        <x:v>Accion KAN-01</x:v>
      </x:c>
      <x:c r="H10" s="10" t="str">
        <x:v>Analista piloto</x:v>
      </x:c>
      <x:c r="I10" s="11" t="str"/>
      <x:c r="J10" s="10" t="str">
        <x:v>Pendiente</x:v>
      </x:c>
      <x:c r="K10" s="10" t="str"/>
      <x:c r="L10" s="10" t="str">
        <x:v>Critica</x:v>
      </x:c>
      <x:c r="M10" s="10" t="str"/>
      <x:c r="N10" s="10" t="str"/>
    </x:row>
    <x:row r="11">
      <x:c r="A11" s="10" t="str">
        <x:v>KAN-03</x:v>
      </x:c>
      <x:c r="B11" s="10" t="str">
        <x:v>Kanban</x:v>
      </x:c>
      <x:c r="C11" s="10" t="str">
        <x:v>Como analista quiero cambiar estado de seguimiento.</x:v>
      </x:c>
      <x:c r="D11" s="10" t="str">
        <x:v>Accion pendiente visible.</x:v>
      </x:c>
      <x:c r="E11" s="10" t="str">
        <x:v>1) Mover o actualizar accion a En ejecucion. 2) Cambiar a Hecho si aplica.</x:v>
      </x:c>
      <x:c r="F11" s="10" t="str">
        <x:v>El estado se actualiza y la accion aparece en la columna/lista correcta.</x:v>
      </x:c>
      <x:c r="G11" s="10" t="str">
        <x:v>Accion pendiente</x:v>
      </x:c>
      <x:c r="H11" s="10" t="str">
        <x:v>Analista piloto</x:v>
      </x:c>
      <x:c r="I11" s="11" t="str"/>
      <x:c r="J11" s="10" t="str">
        <x:v>Pendiente</x:v>
      </x:c>
      <x:c r="K11" s="10" t="str"/>
      <x:c r="L11" s="10" t="str">
        <x:v>Alta</x:v>
      </x:c>
      <x:c r="M11" s="10" t="str"/>
      <x:c r="N11" s="10" t="str"/>
    </x:row>
    <x:row r="12">
      <x:c r="A12" s="10" t="str">
        <x:v>KAN-04</x:v>
      </x:c>
      <x:c r="B12" s="10" t="str">
        <x:v>Kanban</x:v>
      </x:c>
      <x:c r="C12" s="10" t="str">
        <x:v>Como analista quiero alternar tablero y lista.</x:v>
      </x:c>
      <x:c r="D12" s="10" t="str">
        <x:v>Existen varias acciones visibles.</x:v>
      </x:c>
      <x:c r="E12" s="10" t="str">
        <x:v>1) Abrir Kanban. 2) Cambiar a vista lista. 3) Volver a tablero.</x:v>
      </x:c>
      <x:c r="F12" s="10" t="str">
        <x:v>Ambas vistas muestran el mismo universo de acciones y permiten abrir detalle.</x:v>
      </x:c>
      <x:c r="G12" s="10" t="str">
        <x:v>Acciones de prueba</x:v>
      </x:c>
      <x:c r="H12" s="10" t="str">
        <x:v>Analista piloto</x:v>
      </x:c>
      <x:c r="I12" s="11" t="str"/>
      <x:c r="J12" s="10" t="str">
        <x:v>Pendiente</x:v>
      </x:c>
      <x:c r="K12" s="10" t="str"/>
      <x:c r="L12" s="10" t="str">
        <x:v>Media</x:v>
      </x:c>
      <x:c r="M12" s="10" t="str"/>
      <x:c r="N12" s="10" t="str"/>
    </x:row>
    <x:row r="13">
      <x:c r="A13" s="10" t="str">
        <x:v>KAN-05</x:v>
      </x:c>
      <x:c r="B13" s="10" t="str">
        <x:v>Kanban</x:v>
      </x:c>
      <x:c r="C13" s="10" t="str">
        <x:v>Como analista quiero filtrar acciones por texto y fechas.</x:v>
      </x:c>
      <x:c r="D13" s="10" t="str">
        <x:v>Acciones con titulos y fechas distintas.</x:v>
      </x:c>
      <x:c r="E13" s="10" t="str">
        <x:v>1) Aplicar busqueda. 2) Aplicar Desde/Hasta. 3) Validar conteos.</x:v>
      </x:c>
      <x:c r="F13" s="10" t="str">
        <x:v>Solo se muestran acciones que cumplen busqueda y rango de fecha limite.</x:v>
      </x:c>
      <x:c r="G13" s="10" t="str">
        <x:v>Buscar: cierre; rango semanal</x:v>
      </x:c>
      <x:c r="H13" s="10" t="str">
        <x:v>Analista piloto</x:v>
      </x:c>
      <x:c r="I13" s="11" t="str"/>
      <x:c r="J13" s="10" t="str">
        <x:v>Pendiente</x:v>
      </x:c>
      <x:c r="K13" s="10" t="str"/>
      <x:c r="L13" s="10" t="str">
        <x:v>Alta</x:v>
      </x:c>
      <x:c r="M13" s="10" t="str"/>
      <x:c r="N13" s="10" t="str"/>
    </x:row>
    <x:row r="14">
      <x:c r="A14" s="10" t="str">
        <x:v>KAN-06</x:v>
      </x:c>
      <x:c r="B14" s="10" t="str">
        <x:v>Kanban</x:v>
      </x:c>
      <x:c r="C14" s="10" t="str">
        <x:v>Como analista quiero filtrar por estado, prioridad, area, creador y responsable.</x:v>
      </x:c>
      <x:c r="D14" s="10" t="str">
        <x:v>Acciones variadas y catalogos cargados.</x:v>
      </x:c>
      <x:c r="E14" s="10" t="str">
        <x:v>1) Aplicar cada filtro uno por uno. 2) Combinar dos filtros. 3) Limpiar filtros.</x:v>
      </x:c>
      <x:c r="F14" s="10" t="str">
        <x:v>Los resultados coinciden con los criterios y se limpian correctamente.</x:v>
      </x:c>
      <x:c r="G14" s="10" t="str">
        <x:v>Catalogos activos</x:v>
      </x:c>
      <x:c r="H14" s="10" t="str">
        <x:v>Analista piloto</x:v>
      </x:c>
      <x:c r="I14" s="11" t="str"/>
      <x:c r="J14" s="10" t="str">
        <x:v>Pendiente</x:v>
      </x:c>
      <x:c r="K14" s="10" t="str"/>
      <x:c r="L14" s="10" t="str">
        <x:v>Alta</x:v>
      </x:c>
      <x:c r="M14" s="10" t="str"/>
      <x:c r="N14" s="10" t="str"/>
    </x:row>
    <x:row r="15">
      <x:c r="A15" s="10" t="str">
        <x:v>KAN-07</x:v>
      </x:c>
      <x:c r="B15" s="10" t="str">
        <x:v>Kanban</x:v>
      </x:c>
      <x:c r="C15" s="10" t="str">
        <x:v>Como analista quiero revisar el proximo vencimiento.</x:v>
      </x:c>
      <x:c r="D15" s="10" t="str">
        <x:v>Existe accion pendiente con fecha/hora limite cercana.</x:v>
      </x:c>
      <x:c r="E15" s="10" t="str">
        <x:v>1) Abrir Kanban. 2) Revisar bloque de proximo limite. 3) Abrir accion desde ese bloque.</x:v>
      </x:c>
      <x:c r="F15" s="10" t="str">
        <x:v>Se muestra la accion pendiente mas cercana y abre su detalle.</x:v>
      </x:c>
      <x:c r="G15" s="10" t="str">
        <x:v>Accion con vencimiento proximo</x:v>
      </x:c>
      <x:c r="H15" s="10" t="str">
        <x:v>Analista piloto</x:v>
      </x:c>
      <x:c r="I15" s="11" t="str"/>
      <x:c r="J15" s="10" t="str">
        <x:v>Pendiente</x:v>
      </x:c>
      <x:c r="K15" s="10" t="str"/>
      <x:c r="L15" s="10" t="str">
        <x:v>Media</x:v>
      </x:c>
      <x:c r="M15" s="10" t="str"/>
      <x:c r="N15" s="10" t="str"/>
    </x:row>
    <x:row r="16">
      <x:c r="A16" s="10" t="str">
        <x:v>KAN-08</x:v>
      </x:c>
      <x:c r="B16" s="10" t="str">
        <x:v>Kanban</x:v>
      </x:c>
      <x:c r="C16" s="10" t="str">
        <x:v>Como analista quiero validar prioridades desde catalogo.</x:v>
      </x:c>
      <x:c r="D16" s="10" t="str">
        <x:v>Prioridades activas en catalogo.</x:v>
      </x:c>
      <x:c r="E16" s="10" t="str">
        <x:v>1) Abrir formulario de accion. 2) Revisar select Prioridad. 3) Abrir filtro Prioridad.</x:v>
      </x:c>
      <x:c r="F16" s="10" t="str">
        <x:v>Crear/editar y filtro usan las mismas prioridades activas del catalogo.</x:v>
      </x:c>
      <x:c r="G16" s="10" t="str">
        <x:v>Catalogo de prioridades</x:v>
      </x:c>
      <x:c r="H16" s="10" t="str">
        <x:v>Scrum Master</x:v>
      </x:c>
      <x:c r="I16" s="11" t="str"/>
      <x:c r="J16" s="10" t="str">
        <x:v>Pendiente</x:v>
      </x:c>
      <x:c r="K16" s="10" t="str"/>
      <x:c r="L16" s="10" t="str">
        <x:v>Alta</x:v>
      </x:c>
      <x:c r="M16" s="10" t="str"/>
      <x:c r="N16" s="10" t="str"/>
    </x:row>
    <x:row r="17">
      <x:c r="A17" s="10" t="str">
        <x:v>ACA-01</x:v>
      </x:c>
      <x:c r="B17" s="10" t="str">
        <x:v>Academia</x:v>
      </x:c>
      <x:c r="C17" s="10" t="str">
        <x:v>Como analista quiero entrar a la Academia.</x:v>
      </x:c>
      <x:c r="D17" s="10" t="str">
        <x:v>Usuario Analista autenticado.</x:v>
      </x:c>
      <x:c r="E17" s="10" t="str">
        <x:v>1) Abrir /academia. 2) Esperar carga de ruta.</x:v>
      </x:c>
      <x:c r="F17" s="10" t="str">
        <x:v>La pagina carga modulos, progreso y detalle del primer modulo desbloqueado.</x:v>
      </x:c>
      <x:c r="G17" s="10" t="str">
        <x:v>Usuario analista</x:v>
      </x:c>
      <x:c r="H17" s="10" t="str">
        <x:v>Analista piloto</x:v>
      </x:c>
      <x:c r="I17" s="11" t="str"/>
      <x:c r="J17" s="10" t="str">
        <x:v>Pendiente</x:v>
      </x:c>
      <x:c r="K17" s="10" t="str"/>
      <x:c r="L17" s="10" t="str">
        <x:v>Alta</x:v>
      </x:c>
      <x:c r="M17" s="10" t="str"/>
      <x:c r="N17" s="10" t="str"/>
    </x:row>
    <x:row r="18">
      <x:c r="A18" s="10" t="str">
        <x:v>ACA-02</x:v>
      </x:c>
      <x:c r="B18" s="10" t="str">
        <x:v>Academia</x:v>
      </x:c>
      <x:c r="C18" s="10" t="str">
        <x:v>Como analista quiero ver mi progreso.</x:v>
      </x:c>
      <x:c r="D18" s="10" t="str">
        <x:v>Usuario con progreso inicial o existente.</x:v>
      </x:c>
      <x:c r="E18" s="10" t="str">
        <x:v>1) Revisar barra de progreso. 2) Revisar lista de modulos.</x:v>
      </x:c>
      <x:c r="F18" s="10" t="str">
        <x:v>El progreso refleja modulos completados del usuario actual.</x:v>
      </x:c>
      <x:c r="G18" s="10" t="str">
        <x:v>Progreso de prueba</x:v>
      </x:c>
      <x:c r="H18" s="10" t="str">
        <x:v>Analista piloto</x:v>
      </x:c>
      <x:c r="I18" s="11" t="str"/>
      <x:c r="J18" s="10" t="str">
        <x:v>Pendiente</x:v>
      </x:c>
      <x:c r="K18" s="10" t="str"/>
      <x:c r="L18" s="10" t="str">
        <x:v>Media</x:v>
      </x:c>
      <x:c r="M18" s="10" t="str"/>
      <x:c r="N18" s="10" t="str"/>
    </x:row>
    <x:row r="19">
      <x:c r="A19" s="10" t="str">
        <x:v>ACA-03</x:v>
      </x:c>
      <x:c r="B19" s="10" t="str">
        <x:v>Academia</x:v>
      </x:c>
      <x:c r="C19" s="10" t="str">
        <x:v>Como analista quiero seleccionar un modulo desbloqueado.</x:v>
      </x:c>
      <x:c r="D19" s="10" t="str">
        <x:v>Existe al menos un modulo desbloqueado.</x:v>
      </x:c>
      <x:c r="E19" s="10" t="str">
        <x:v>1) Clic en modulo desbloqueado. 2) Revisar detalle, pasos y quiz.</x:v>
      </x:c>
      <x:c r="F19" s="10" t="str">
        <x:v>El detalle del modulo se muestra y permite interactuar con pasos.</x:v>
      </x:c>
      <x:c r="G19" s="10" t="str">
        <x:v>Modulo 1</x:v>
      </x:c>
      <x:c r="H19" s="10" t="str">
        <x:v>Analista piloto</x:v>
      </x:c>
      <x:c r="I19" s="11" t="str"/>
      <x:c r="J19" s="10" t="str">
        <x:v>Pendiente</x:v>
      </x:c>
      <x:c r="K19" s="10" t="str"/>
      <x:c r="L19" s="10" t="str">
        <x:v>Media</x:v>
      </x:c>
      <x:c r="M19" s="10" t="str"/>
      <x:c r="N19" s="10" t="str"/>
    </x:row>
    <x:row r="20">
      <x:c r="A20" s="10" t="str">
        <x:v>ACA-04</x:v>
      </x:c>
      <x:c r="B20" s="10" t="str">
        <x:v>Academia</x:v>
      </x:c>
      <x:c r="C20" s="10" t="str">
        <x:v>Como analista quiero marcar pasos completados.</x:v>
      </x:c>
      <x:c r="D20" s="10" t="str">
        <x:v>Modulo desbloqueado abierto.</x:v>
      </x:c>
      <x:c r="E20" s="10" t="str">
        <x:v>1) Marcar un paso. 2) Desmarcarlo. 3) Marcarlo nuevamente.</x:v>
      </x:c>
      <x:c r="F20" s="10" t="str">
        <x:v>El estado del paso cambia y se guarda sin error.</x:v>
      </x:c>
      <x:c r="G20" s="10" t="str">
        <x:v>Paso de modulo</x:v>
      </x:c>
      <x:c r="H20" s="10" t="str">
        <x:v>Analista piloto</x:v>
      </x:c>
      <x:c r="I20" s="11" t="str"/>
      <x:c r="J20" s="10" t="str">
        <x:v>Pendiente</x:v>
      </x:c>
      <x:c r="K20" s="10" t="str"/>
      <x:c r="L20" s="10" t="str">
        <x:v>Media</x:v>
      </x:c>
      <x:c r="M20" s="10" t="str"/>
      <x:c r="N20" s="10" t="str"/>
    </x:row>
    <x:row r="21">
      <x:c r="A21" s="10" t="str">
        <x:v>ACA-05</x:v>
      </x:c>
      <x:c r="B21" s="10" t="str">
        <x:v>Academia</x:v>
      </x:c>
      <x:c r="C21" s="10" t="str">
        <x:v>Como analista quiero saber si falle el quiz.</x:v>
      </x:c>
      <x:c r="D21" s="10" t="str">
        <x:v>Modulo con quiz abierto.</x:v>
      </x:c>
      <x:c r="E21" s="10" t="str">
        <x:v>1) Seleccionar respuestas incorrectas. 2) Enviar quiz.</x:v>
      </x:c>
      <x:c r="F21" s="10" t="str">
        <x:v>El sistema indica que no esta aprobado y no desbloquea el siguiente modulo.</x:v>
      </x:c>
      <x:c r="G21" s="10" t="str">
        <x:v>Quiz con respuesta incorrecta</x:v>
      </x:c>
      <x:c r="H21" s="10" t="str">
        <x:v>Analista piloto</x:v>
      </x:c>
      <x:c r="I21" s="11" t="str"/>
      <x:c r="J21" s="10" t="str">
        <x:v>Pendiente</x:v>
      </x:c>
      <x:c r="K21" s="10" t="str"/>
      <x:c r="L21" s="10" t="str">
        <x:v>Alta</x:v>
      </x:c>
      <x:c r="M21" s="10" t="str"/>
      <x:c r="N21" s="10" t="str"/>
    </x:row>
    <x:row r="22">
      <x:c r="A22" s="10" t="str">
        <x:v>ACA-06</x:v>
      </x:c>
      <x:c r="B22" s="10" t="str">
        <x:v>Academia</x:v>
      </x:c>
      <x:c r="C22" s="10" t="str">
        <x:v>Como analista quiero avanzar con quiz correcto.</x:v>
      </x:c>
      <x:c r="D22" s="10" t="str">
        <x:v>Modulo con quiz abierto.</x:v>
      </x:c>
      <x:c r="E22" s="10" t="str">
        <x:v>1) Seleccionar respuestas correctas. 2) Enviar quiz.</x:v>
      </x:c>
      <x:c r="F22" s="10" t="str">
        <x:v>El modulo queda completado y el siguiente modulo se desbloquea si aplica.</x:v>
      </x:c>
      <x:c r="G22" s="10" t="str">
        <x:v>Quiz correcto</x:v>
      </x:c>
      <x:c r="H22" s="10" t="str">
        <x:v>Analista piloto</x:v>
      </x:c>
      <x:c r="I22" s="11" t="str"/>
      <x:c r="J22" s="10" t="str">
        <x:v>Pendiente</x:v>
      </x:c>
      <x:c r="K22" s="10" t="str"/>
      <x:c r="L22" s="10" t="str">
        <x:v>Alta</x:v>
      </x:c>
      <x:c r="M22" s="10" t="str"/>
      <x:c r="N22" s="10" t="str"/>
    </x:row>
    <x:row r="23">
      <x:c r="A23" s="10" t="str">
        <x:v>ACA-07</x:v>
      </x:c>
      <x:c r="B23" s="10" t="str">
        <x:v>Academia</x:v>
      </x:c>
      <x:c r="C23" s="10" t="str">
        <x:v>Como analista quiero que mi progreso persista.</x:v>
      </x:c>
      <x:c r="D23" s="10" t="str">
        <x:v>Modulo con pasos o quiz completado.</x:v>
      </x:c>
      <x:c r="E23" s="10" t="str">
        <x:v>1) Recargar pagina. 2) Cerrar y volver a abrir /academia.</x:v>
      </x:c>
      <x:c r="F23" s="10" t="str">
        <x:v>El progreso, pasos y quiz aprobados se conservan para el usuario.</x:v>
      </x:c>
      <x:c r="G23" s="10" t="str">
        <x:v>Progreso guardado</x:v>
      </x:c>
      <x:c r="H23" s="10" t="str">
        <x:v>Analista piloto</x:v>
      </x:c>
      <x:c r="I23" s="11" t="str"/>
      <x:c r="J23" s="10" t="str">
        <x:v>Pendiente</x:v>
      </x:c>
      <x:c r="K23" s="10" t="str"/>
      <x:c r="L23" s="10" t="str">
        <x:v>Critica</x:v>
      </x:c>
      <x:c r="M23" s="10" t="str"/>
      <x:c r="N23" s="10" t="str"/>
    </x:row>
    <x:row r="24">
      <x:c r="A24" s="10" t="str">
        <x:v>CAL-01</x:v>
      </x:c>
      <x:c r="B24" s="10" t="str">
        <x:v>Calendario</x:v>
      </x:c>
      <x:c r="C24" s="10" t="str">
        <x:v>Como analista quiero entrar al calendario.</x:v>
      </x:c>
      <x:c r="D24" s="10" t="str">
        <x:v>Usuario Analista autenticado.</x:v>
      </x:c>
      <x:c r="E24" s="10" t="str">
        <x:v>1) Abrir /calendario. 2) Esperar carga mensual.</x:v>
      </x:c>
      <x:c r="F24" s="10" t="str">
        <x:v>El calendario carga mes actual sin error.</x:v>
      </x:c>
      <x:c r="G24" s="10" t="str">
        <x:v>Usuario analista</x:v>
      </x:c>
      <x:c r="H24" s="10" t="str">
        <x:v>Analista piloto</x:v>
      </x:c>
      <x:c r="I24" s="11" t="str"/>
      <x:c r="J24" s="10" t="str">
        <x:v>Pendiente</x:v>
      </x:c>
      <x:c r="K24" s="10" t="str"/>
      <x:c r="L24" s="10" t="str">
        <x:v>Alta</x:v>
      </x:c>
      <x:c r="M24" s="10" t="str"/>
      <x:c r="N24" s="10" t="str"/>
    </x:row>
    <x:row r="25">
      <x:c r="A25" s="10" t="str">
        <x:v>CAL-02</x:v>
      </x:c>
      <x:c r="B25" s="10" t="str">
        <x:v>Calendario</x:v>
      </x:c>
      <x:c r="C25" s="10" t="str">
        <x:v>Como analista quiero navegar meses.</x:v>
      </x:c>
      <x:c r="D25" s="10" t="str">
        <x:v>Calendario abierto.</x:v>
      </x:c>
      <x:c r="E25" s="10" t="str">
        <x:v>1) Clic mes siguiente. 2) Clic mes anterior. 3) Volver al mes actual.</x:v>
      </x:c>
      <x:c r="F25" s="10" t="str">
        <x:v>La grilla cambia de mes y conserva formato de dias.</x:v>
      </x:c>
      <x:c r="G25" s="10" t="str">
        <x:v>Vista mensual</x:v>
      </x:c>
      <x:c r="H25" s="10" t="str">
        <x:v>Analista piloto</x:v>
      </x:c>
      <x:c r="I25" s="11" t="str"/>
      <x:c r="J25" s="10" t="str">
        <x:v>Pendiente</x:v>
      </x:c>
      <x:c r="K25" s="10" t="str"/>
      <x:c r="L25" s="10" t="str">
        <x:v>Media</x:v>
      </x:c>
      <x:c r="M25" s="10" t="str"/>
      <x:c r="N25" s="10" t="str"/>
    </x:row>
    <x:row r="26">
      <x:c r="A26" s="10" t="str">
        <x:v>CAL-03</x:v>
      </x:c>
      <x:c r="B26" s="10" t="str">
        <x:v>Calendario</x:v>
      </x:c>
      <x:c r="C26" s="10" t="str">
        <x:v>Como analista quiero seleccionar un dia y ver mis acciones.</x:v>
      </x:c>
      <x:c r="D26" s="10" t="str">
        <x:v>Existen acciones visibles para el usuario.</x:v>
      </x:c>
      <x:c r="E26" s="10" t="str">
        <x:v>1) Seleccionar un dia con acciones. 2) Revisar panel de detalle.</x:v>
      </x:c>
      <x:c r="F26" s="10" t="str">
        <x:v>El panel muestra acciones visibles del usuario para ese dia.</x:v>
      </x:c>
      <x:c r="G26" s="10" t="str">
        <x:v>Dia con acciones</x:v>
      </x:c>
      <x:c r="H26" s="10" t="str">
        <x:v>Analista piloto</x:v>
      </x:c>
      <x:c r="I26" s="11" t="str"/>
      <x:c r="J26" s="10" t="str">
        <x:v>Pendiente</x:v>
      </x:c>
      <x:c r="K26" s="10" t="str"/>
      <x:c r="L26" s="10" t="str">
        <x:v>Alta</x:v>
      </x:c>
      <x:c r="M26" s="10" t="str"/>
      <x:c r="N26" s="10" t="str"/>
    </x:row>
    <x:row r="27">
      <x:c r="A27" s="10" t="str">
        <x:v>CAL-04</x:v>
      </x:c>
      <x:c r="B27" s="10" t="str">
        <x:v>Calendario</x:v>
      </x:c>
      <x:c r="C27" s="10" t="str">
        <x:v>Como analista quiero filtrar por tipo de elemento.</x:v>
      </x:c>
      <x:c r="D27" s="10" t="str">
        <x:v>Existen acciones, recordatorios o minutas.</x:v>
      </x:c>
      <x:c r="E27" s="10" t="str">
        <x:v>1) Abrir filtros. 2) Elegir acciones. 3) Elegir recordatorios. 4) Elegir minutas.</x:v>
      </x:c>
      <x:c r="F27" s="10" t="str">
        <x:v>El calendario muestra solo el tipo seleccionado.</x:v>
      </x:c>
      <x:c r="G27" s="10" t="str">
        <x:v>Tipos de calendario</x:v>
      </x:c>
      <x:c r="H27" s="10" t="str">
        <x:v>Analista piloto</x:v>
      </x:c>
      <x:c r="I27" s="11" t="str"/>
      <x:c r="J27" s="10" t="str">
        <x:v>Pendiente</x:v>
      </x:c>
      <x:c r="K27" s="10" t="str"/>
      <x:c r="L27" s="10" t="str">
        <x:v>Media</x:v>
      </x:c>
      <x:c r="M27" s="10" t="str"/>
      <x:c r="N27" s="10" t="str"/>
    </x:row>
    <x:row r="28">
      <x:c r="A28" s="10" t="str">
        <x:v>CAL-05</x:v>
      </x:c>
      <x:c r="B28" s="10" t="str">
        <x:v>Calendario</x:v>
      </x:c>
      <x:c r="C28" s="10" t="str">
        <x:v>Como analista quiero filtrar por area, responsable y estado.</x:v>
      </x:c>
      <x:c r="D28" s="10" t="str">
        <x:v>Existen acciones variadas.</x:v>
      </x:c>
      <x:c r="E28" s="10" t="str">
        <x:v>1) Seleccionar area. 2) Seleccionar responsable. 3) Seleccionar estado.</x:v>
      </x:c>
      <x:c r="F28" s="10" t="str">
        <x:v>La vista mensual y detalle reflejan los filtros aplicados.</x:v>
      </x:c>
      <x:c r="G28" s="10" t="str">
        <x:v>Catalogos activos</x:v>
      </x:c>
      <x:c r="H28" s="10" t="str">
        <x:v>Analista piloto</x:v>
      </x:c>
      <x:c r="I28" s="11" t="str"/>
      <x:c r="J28" s="10" t="str">
        <x:v>Pendiente</x:v>
      </x:c>
      <x:c r="K28" s="10" t="str"/>
      <x:c r="L28" s="10" t="str">
        <x:v>Alta</x:v>
      </x:c>
      <x:c r="M28" s="10" t="str"/>
      <x:c r="N28" s="10" t="str"/>
    </x:row>
    <x:row r="29">
      <x:c r="A29" s="10" t="str">
        <x:v>CAL-06</x:v>
      </x:c>
      <x:c r="B29" s="10" t="str">
        <x:v>Calendario</x:v>
      </x:c>
      <x:c r="C29" s="10" t="str">
        <x:v>Como analista quiero crear un recordatorio.</x:v>
      </x:c>
      <x:c r="D29" s="10" t="str">
        <x:v>Dia seleccionado en calendario.</x:v>
      </x:c>
      <x:c r="E29" s="10" t="str">
        <x:v>1) Seleccionar dia. 2) Clic nuevo recordatorio. 3) Capturar titulo, fecha/hora y descripcion. 4) Guardar.</x:v>
      </x:c>
      <x:c r="F29" s="10" t="str">
        <x:v>El recordatorio aparece en el dia seleccionado.</x:v>
      </x:c>
      <x:c r="G29" s="10" t="str">
        <x:v>Recordatorio de prueba</x:v>
      </x:c>
      <x:c r="H29" s="10" t="str">
        <x:v>Analista piloto</x:v>
      </x:c>
      <x:c r="I29" s="11" t="str"/>
      <x:c r="J29" s="10" t="str">
        <x:v>Pendiente</x:v>
      </x:c>
      <x:c r="K29" s="10" t="str"/>
      <x:c r="L29" s="10" t="str">
        <x:v>Alta</x:v>
      </x:c>
      <x:c r="M29" s="10" t="str"/>
      <x:c r="N29" s="10" t="str"/>
    </x:row>
    <x:row r="30">
      <x:c r="A30" s="10" t="str">
        <x:v>CAL-07</x:v>
      </x:c>
      <x:c r="B30" s="10" t="str">
        <x:v>Calendario</x:v>
      </x:c>
      <x:c r="C30" s="10" t="str">
        <x:v>Como analista quiero crear una minuta.</x:v>
      </x:c>
      <x:c r="D30" s="10" t="str">
        <x:v>Dia seleccionado en calendario.</x:v>
      </x:c>
      <x:c r="E30" s="10" t="str">
        <x:v>1) Seleccionar dia. 2) Clic nueva minuta/nota. 3) Capturar titulo y texto. 4) Guardar.</x:v>
      </x:c>
      <x:c r="F30" s="10" t="str">
        <x:v>La minuta aparece en el dia seleccionado y es visible en el detalle.</x:v>
      </x:c>
      <x:c r="G30" s="10" t="str">
        <x:v>Minuta de seguimiento</x:v>
      </x:c>
      <x:c r="H30" s="10" t="str">
        <x:v>Analista piloto</x:v>
      </x:c>
      <x:c r="I30" s="11" t="str"/>
      <x:c r="J30" s="10" t="str">
        <x:v>Pendiente</x:v>
      </x:c>
      <x:c r="K30" s="10" t="str"/>
      <x:c r="L30" s="10" t="str">
        <x:v>Alta</x:v>
      </x:c>
      <x:c r="M30" s="10" t="str"/>
      <x:c r="N30" s="10" t="str"/>
    </x:row>
    <x:row r="31">
      <x:c r="A31" s="10" t="str">
        <x:v>CAL-08</x:v>
      </x:c>
      <x:c r="B31" s="10" t="str">
        <x:v>Calendario</x:v>
      </x:c>
      <x:c r="C31" s="10" t="str">
        <x:v>Como analista quiero editar una accion desde calendario.</x:v>
      </x:c>
      <x:c r="D31" s="10" t="str">
        <x:v>Accion visible en un dia seleccionado.</x:v>
      </x:c>
      <x:c r="E31" s="10" t="str">
        <x:v>1) Seleccionar dia. 2) Abrir accion desde detalle. 3) Editar prioridad o fecha. 4) Guardar.</x:v>
      </x:c>
      <x:c r="F31" s="10" t="str">
        <x:v>La accion se actualiza y el cambio se refleja en Calendario y Kanban.</x:v>
      </x:c>
      <x:c r="G31" s="10" t="str">
        <x:v>Accion existente</x:v>
      </x:c>
      <x:c r="H31" s="10" t="str">
        <x:v>Analista piloto</x:v>
      </x:c>
      <x:c r="I31" s="11" t="str"/>
      <x:c r="J31" s="10" t="str">
        <x:v>Pendiente</x:v>
      </x:c>
      <x:c r="K31" s="10" t="str"/>
      <x:c r="L31" s="10" t="str">
        <x:v>Critica</x:v>
      </x:c>
      <x:c r="M31" s="10" t="str"/>
      <x:c r="N31" s="10" t="str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1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1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1"/>
      <x:c r="J34" s="10"/>
      <x:c r="K34" s="10"/>
      <x:c r="L34" s="10"/>
      <x:c r="M34" s="10"/>
      <x:c r="N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1"/>
      <x:c r="J35" s="10"/>
      <x:c r="K35" s="10"/>
      <x:c r="L35" s="10"/>
      <x:c r="M35" s="10"/>
      <x:c r="N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1"/>
      <x:c r="J36" s="10"/>
      <x:c r="K36" s="10"/>
      <x:c r="L36" s="10"/>
      <x:c r="M36" s="10"/>
      <x:c r="N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1"/>
      <x:c r="J37" s="10"/>
      <x:c r="K37" s="10"/>
      <x:c r="L37" s="10"/>
      <x:c r="M37" s="10"/>
      <x:c r="N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1"/>
      <x:c r="J38" s="10"/>
      <x:c r="K38" s="10"/>
      <x:c r="L38" s="10"/>
      <x:c r="M38" s="10"/>
      <x:c r="N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1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1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1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1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1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1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1"/>
      <x:c r="J45" s="10"/>
      <x:c r="K45" s="10"/>
      <x:c r="L45" s="10"/>
      <x:c r="M45" s="10"/>
      <x:c r="N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1"/>
      <x:c r="J46" s="10"/>
      <x:c r="K46" s="10"/>
      <x:c r="L46" s="10"/>
      <x:c r="M46" s="10"/>
      <x:c r="N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1"/>
      <x:c r="J47" s="10"/>
      <x:c r="K47" s="10"/>
      <x:c r="L47" s="10"/>
      <x:c r="M47" s="10"/>
      <x:c r="N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1"/>
      <x:c r="J48" s="10"/>
      <x:c r="K48" s="10"/>
      <x:c r="L48" s="10"/>
      <x:c r="M48" s="10"/>
      <x:c r="N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1"/>
      <x:c r="J49" s="10"/>
      <x:c r="K49" s="10"/>
      <x:c r="L49" s="10"/>
      <x:c r="M49" s="10"/>
      <x:c r="N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1"/>
      <x:c r="J50" s="10"/>
      <x:c r="K50" s="10"/>
      <x:c r="L50" s="10"/>
      <x:c r="M50" s="10"/>
      <x:c r="N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1"/>
      <x:c r="J51" s="10"/>
      <x:c r="K51" s="10"/>
      <x:c r="L51" s="10"/>
      <x:c r="M51" s="10"/>
      <x:c r="N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1"/>
      <x:c r="J52" s="10"/>
      <x:c r="K52" s="10"/>
      <x:c r="L52" s="10"/>
      <x:c r="M52" s="10"/>
      <x:c r="N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1"/>
      <x:c r="J53" s="10"/>
      <x:c r="K53" s="10"/>
      <x:c r="L53" s="10"/>
      <x:c r="M53" s="10"/>
      <x:c r="N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1"/>
      <x:c r="J54" s="10"/>
      <x:c r="K54" s="10"/>
      <x:c r="L54" s="10"/>
      <x:c r="M54" s="10"/>
      <x:c r="N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1"/>
      <x:c r="J55" s="10"/>
      <x:c r="K55" s="10"/>
      <x:c r="L55" s="10"/>
      <x:c r="M55" s="10"/>
      <x:c r="N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1"/>
      <x:c r="J56" s="10"/>
      <x:c r="K56" s="10"/>
      <x:c r="L56" s="10"/>
      <x:c r="M56" s="10"/>
      <x:c r="N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1"/>
      <x:c r="J57" s="10"/>
      <x:c r="K57" s="10"/>
      <x:c r="L57" s="10"/>
      <x:c r="M57" s="10"/>
      <x:c r="N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1"/>
      <x:c r="J58" s="10"/>
      <x:c r="K58" s="10"/>
      <x:c r="L58" s="10"/>
      <x:c r="M58" s="10"/>
      <x:c r="N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1"/>
      <x:c r="J59" s="10"/>
      <x:c r="K59" s="10"/>
      <x:c r="L59" s="10"/>
      <x:c r="M59" s="10"/>
      <x:c r="N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1"/>
      <x:c r="J60" s="10"/>
      <x:c r="K60" s="10"/>
      <x:c r="L60" s="10"/>
      <x:c r="M60" s="10"/>
      <x:c r="N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1"/>
      <x:c r="J61" s="10"/>
      <x:c r="K61" s="10"/>
      <x:c r="L61" s="10"/>
      <x:c r="M61" s="10"/>
      <x:c r="N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1"/>
      <x:c r="J62" s="10"/>
      <x:c r="K62" s="10"/>
      <x:c r="L62" s="10"/>
      <x:c r="M62" s="10"/>
      <x:c r="N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1"/>
      <x:c r="J63" s="10"/>
      <x:c r="K63" s="10"/>
      <x:c r="L63" s="10"/>
      <x:c r="M63" s="10"/>
      <x:c r="N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1"/>
      <x:c r="J64" s="10"/>
      <x:c r="K64" s="10"/>
      <x:c r="L64" s="10"/>
      <x:c r="M64" s="10"/>
      <x:c r="N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1"/>
      <x:c r="J65" s="10"/>
      <x:c r="K65" s="10"/>
      <x:c r="L65" s="10"/>
      <x:c r="M65" s="10"/>
      <x:c r="N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1"/>
      <x:c r="J66" s="10"/>
      <x:c r="K66" s="10"/>
      <x:c r="L66" s="10"/>
      <x:c r="M66" s="10"/>
      <x:c r="N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1"/>
      <x:c r="J67" s="10"/>
      <x:c r="K67" s="10"/>
      <x:c r="L67" s="10"/>
      <x:c r="M67" s="10"/>
      <x:c r="N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1"/>
      <x:c r="J68" s="10"/>
      <x:c r="K68" s="10"/>
      <x:c r="L68" s="10"/>
      <x:c r="M68" s="10"/>
      <x:c r="N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1"/>
      <x:c r="J69" s="10"/>
      <x:c r="K69" s="10"/>
      <x:c r="L69" s="10"/>
      <x:c r="M69" s="10"/>
      <x:c r="N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1"/>
      <x:c r="J70" s="10"/>
      <x:c r="K70" s="10"/>
      <x:c r="L70" s="10"/>
      <x:c r="M70" s="10"/>
      <x:c r="N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1"/>
      <x:c r="J71" s="10"/>
      <x:c r="K71" s="10"/>
      <x:c r="L71" s="10"/>
      <x:c r="M71" s="10"/>
      <x:c r="N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1"/>
      <x:c r="J72" s="10"/>
      <x:c r="K72" s="10"/>
      <x:c r="L72" s="10"/>
      <x:c r="M72" s="10"/>
      <x:c r="N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1"/>
      <x:c r="J73" s="10"/>
      <x:c r="K73" s="10"/>
      <x:c r="L73" s="10"/>
      <x:c r="M73" s="10"/>
      <x:c r="N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1"/>
      <x:c r="J74" s="10"/>
      <x:c r="K74" s="10"/>
      <x:c r="L74" s="10"/>
      <x:c r="M74" s="10"/>
      <x:c r="N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1"/>
      <x:c r="J75" s="10"/>
      <x:c r="K75" s="10"/>
      <x:c r="L75" s="10"/>
      <x:c r="M75" s="10"/>
      <x:c r="N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1"/>
      <x:c r="J76" s="10"/>
      <x:c r="K76" s="10"/>
      <x:c r="L76" s="10"/>
      <x:c r="M76" s="10"/>
      <x:c r="N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1"/>
      <x:c r="J77" s="10"/>
      <x:c r="K77" s="10"/>
      <x:c r="L77" s="10"/>
      <x:c r="M77" s="10"/>
      <x:c r="N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1"/>
      <x:c r="J78" s="10"/>
      <x:c r="K78" s="10"/>
      <x:c r="L78" s="10"/>
      <x:c r="M78" s="10"/>
      <x:c r="N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1"/>
      <x:c r="J79" s="10"/>
      <x:c r="K79" s="10"/>
      <x:c r="L79" s="10"/>
      <x:c r="M79" s="10"/>
      <x:c r="N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1"/>
      <x:c r="J80" s="10"/>
      <x:c r="K80" s="10"/>
      <x:c r="L80" s="10"/>
      <x:c r="M80" s="10"/>
      <x:c r="N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1"/>
      <x:c r="J81" s="10"/>
      <x:c r="K81" s="10"/>
      <x:c r="L81" s="10"/>
      <x:c r="M81" s="10"/>
      <x:c r="N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1"/>
      <x:c r="J82" s="10"/>
      <x:c r="K82" s="10"/>
      <x:c r="L82" s="10"/>
      <x:c r="M82" s="10"/>
      <x:c r="N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1"/>
      <x:c r="J83" s="10"/>
      <x:c r="K83" s="10"/>
      <x:c r="L83" s="10"/>
      <x:c r="M83" s="10"/>
      <x:c r="N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1"/>
      <x:c r="J84" s="10"/>
      <x:c r="K84" s="10"/>
      <x:c r="L84" s="10"/>
      <x:c r="M84" s="10"/>
      <x:c r="N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1"/>
      <x:c r="J85" s="10"/>
      <x:c r="K85" s="10"/>
      <x:c r="L85" s="10"/>
      <x:c r="M85" s="10"/>
      <x:c r="N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1"/>
      <x:c r="J86" s="10"/>
      <x:c r="K86" s="10"/>
      <x:c r="L86" s="10"/>
      <x:c r="M86" s="10"/>
      <x:c r="N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1"/>
      <x:c r="J87" s="10"/>
      <x:c r="K87" s="10"/>
      <x:c r="L87" s="10"/>
      <x:c r="M87" s="10"/>
      <x:c r="N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1"/>
      <x:c r="J88" s="10"/>
      <x:c r="K88" s="10"/>
      <x:c r="L88" s="10"/>
      <x:c r="M88" s="10"/>
      <x:c r="N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1"/>
      <x:c r="J89" s="10"/>
      <x:c r="K89" s="10"/>
      <x:c r="L89" s="10"/>
      <x:c r="M89" s="10"/>
      <x:c r="N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1"/>
      <x:c r="J90" s="10"/>
      <x:c r="K90" s="10"/>
      <x:c r="L90" s="10"/>
      <x:c r="M90" s="10"/>
      <x:c r="N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1"/>
      <x:c r="J91" s="10"/>
      <x:c r="K91" s="10"/>
      <x:c r="L91" s="10"/>
      <x:c r="M91" s="10"/>
      <x:c r="N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1"/>
      <x:c r="J92" s="10"/>
      <x:c r="K92" s="10"/>
      <x:c r="L92" s="10"/>
      <x:c r="M92" s="10"/>
      <x:c r="N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1"/>
      <x:c r="J93" s="10"/>
      <x:c r="K93" s="10"/>
      <x:c r="L93" s="10"/>
      <x:c r="M93" s="10"/>
      <x:c r="N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1"/>
      <x:c r="J94" s="10"/>
      <x:c r="K94" s="10"/>
      <x:c r="L94" s="10"/>
      <x:c r="M94" s="10"/>
      <x:c r="N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1"/>
      <x:c r="J95" s="10"/>
      <x:c r="K95" s="10"/>
      <x:c r="L95" s="10"/>
      <x:c r="M95" s="10"/>
      <x:c r="N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1"/>
      <x:c r="J96" s="10"/>
      <x:c r="K96" s="10"/>
      <x:c r="L96" s="10"/>
      <x:c r="M96" s="10"/>
      <x:c r="N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1"/>
      <x:c r="J97" s="10"/>
      <x:c r="K97" s="10"/>
      <x:c r="L97" s="10"/>
      <x:c r="M97" s="10"/>
      <x:c r="N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1"/>
      <x:c r="J98" s="10"/>
      <x:c r="K98" s="10"/>
      <x:c r="L98" s="10"/>
      <x:c r="M98" s="10"/>
      <x:c r="N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1"/>
      <x:c r="J99" s="10"/>
      <x:c r="K99" s="10"/>
      <x:c r="L99" s="10"/>
      <x:c r="M99" s="10"/>
      <x:c r="N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1"/>
      <x:c r="J100" s="10"/>
      <x:c r="K100" s="10"/>
      <x:c r="L100" s="10"/>
      <x:c r="M100" s="10"/>
      <x:c r="N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1"/>
      <x:c r="J101" s="10"/>
      <x:c r="K101" s="10"/>
      <x:c r="L101" s="10"/>
      <x:c r="M101" s="10"/>
      <x:c r="N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1"/>
      <x:c r="J102" s="10"/>
      <x:c r="K102" s="10"/>
      <x:c r="L102" s="10"/>
      <x:c r="M102" s="10"/>
      <x:c r="N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1"/>
      <x:c r="J103" s="10"/>
      <x:c r="K103" s="10"/>
      <x:c r="L103" s="10"/>
      <x:c r="M103" s="10"/>
      <x:c r="N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1"/>
      <x:c r="J104" s="10"/>
      <x:c r="K104" s="10"/>
      <x:c r="L104" s="10"/>
      <x:c r="M104" s="10"/>
      <x:c r="N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1"/>
      <x:c r="J105" s="10"/>
      <x:c r="K105" s="10"/>
      <x:c r="L105" s="10"/>
      <x:c r="M105" s="10"/>
      <x:c r="N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1"/>
      <x:c r="J106" s="10"/>
      <x:c r="K106" s="10"/>
      <x:c r="L106" s="10"/>
      <x:c r="M106" s="10"/>
      <x:c r="N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1"/>
      <x:c r="J107" s="10"/>
      <x:c r="K107" s="10"/>
      <x:c r="L107" s="10"/>
      <x:c r="M107" s="10"/>
      <x:c r="N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1"/>
      <x:c r="J108" s="10"/>
      <x:c r="K108" s="10"/>
      <x:c r="L108" s="10"/>
      <x:c r="M108" s="10"/>
      <x:c r="N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1"/>
      <x:c r="J109" s="10"/>
      <x:c r="K109" s="10"/>
      <x:c r="L109" s="10"/>
      <x:c r="M109" s="10"/>
      <x:c r="N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1"/>
      <x:c r="J110" s="10"/>
      <x:c r="K110" s="10"/>
      <x:c r="L110" s="10"/>
      <x:c r="M110" s="10"/>
      <x:c r="N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1"/>
      <x:c r="J111" s="10"/>
      <x:c r="K111" s="10"/>
      <x:c r="L111" s="10"/>
      <x:c r="M111" s="10"/>
      <x:c r="N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1"/>
      <x:c r="J112" s="10"/>
      <x:c r="K112" s="10"/>
      <x:c r="L112" s="10"/>
      <x:c r="M112" s="10"/>
      <x:c r="N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1"/>
      <x:c r="J113" s="10"/>
      <x:c r="K113" s="10"/>
      <x:c r="L113" s="10"/>
      <x:c r="M113" s="10"/>
      <x:c r="N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1"/>
      <x:c r="J114" s="10"/>
      <x:c r="K114" s="10"/>
      <x:c r="L114" s="10"/>
      <x:c r="M114" s="10"/>
      <x:c r="N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1"/>
      <x:c r="J115" s="10"/>
      <x:c r="K115" s="10"/>
      <x:c r="L115" s="10"/>
      <x:c r="M115" s="10"/>
      <x:c r="N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1"/>
      <x:c r="J116" s="10"/>
      <x:c r="K116" s="10"/>
      <x:c r="L116" s="10"/>
      <x:c r="M116" s="10"/>
      <x:c r="N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1"/>
      <x:c r="J117" s="10"/>
      <x:c r="K117" s="10"/>
      <x:c r="L117" s="10"/>
      <x:c r="M117" s="10"/>
      <x:c r="N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1"/>
      <x:c r="J118" s="10"/>
      <x:c r="K118" s="10"/>
      <x:c r="L118" s="10"/>
      <x:c r="M118" s="10"/>
      <x:c r="N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1"/>
      <x:c r="J119" s="10"/>
      <x:c r="K119" s="10"/>
      <x:c r="L119" s="10"/>
      <x:c r="M119" s="10"/>
      <x:c r="N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1"/>
      <x:c r="J120" s="10"/>
      <x:c r="K120" s="10"/>
      <x:c r="L120" s="10"/>
      <x:c r="M120" s="10"/>
      <x:c r="N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1"/>
      <x:c r="J121" s="10"/>
      <x:c r="K121" s="10"/>
      <x:c r="L121" s="10"/>
      <x:c r="M121" s="10"/>
      <x:c r="N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1"/>
      <x:c r="J122" s="10"/>
      <x:c r="K122" s="10"/>
      <x:c r="L122" s="10"/>
      <x:c r="M122" s="10"/>
      <x:c r="N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1"/>
      <x:c r="J123" s="10"/>
      <x:c r="K123" s="10"/>
      <x:c r="L123" s="10"/>
      <x:c r="M123" s="10"/>
      <x:c r="N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1"/>
      <x:c r="J124" s="10"/>
      <x:c r="K124" s="10"/>
      <x:c r="L124" s="10"/>
      <x:c r="M124" s="10"/>
      <x:c r="N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1"/>
      <x:c r="J125" s="10"/>
      <x:c r="K125" s="10"/>
      <x:c r="L125" s="10"/>
      <x:c r="M125" s="10"/>
      <x:c r="N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1"/>
      <x:c r="J126" s="10"/>
      <x:c r="K126" s="10"/>
      <x:c r="L126" s="10"/>
      <x:c r="M126" s="10"/>
      <x:c r="N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1"/>
      <x:c r="J127" s="10"/>
      <x:c r="K127" s="10"/>
      <x:c r="L127" s="10"/>
      <x:c r="M127" s="10"/>
      <x:c r="N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1"/>
      <x:c r="J128" s="10"/>
      <x:c r="K128" s="10"/>
      <x:c r="L128" s="10"/>
      <x:c r="M128" s="10"/>
      <x:c r="N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1"/>
      <x:c r="J129" s="10"/>
      <x:c r="K129" s="10"/>
      <x:c r="L129" s="10"/>
      <x:c r="M129" s="10"/>
      <x:c r="N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1"/>
      <x:c r="J130" s="10"/>
      <x:c r="K130" s="10"/>
      <x:c r="L130" s="10"/>
      <x:c r="M130" s="10"/>
      <x:c r="N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1"/>
      <x:c r="J131" s="10"/>
      <x:c r="K131" s="10"/>
      <x:c r="L131" s="10"/>
      <x:c r="M131" s="10"/>
      <x:c r="N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1"/>
      <x:c r="J132" s="10"/>
      <x:c r="K132" s="10"/>
      <x:c r="L132" s="10"/>
      <x:c r="M132" s="10"/>
      <x:c r="N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1"/>
      <x:c r="J133" s="10"/>
      <x:c r="K133" s="10"/>
      <x:c r="L133" s="10"/>
      <x:c r="M133" s="10"/>
      <x:c r="N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1"/>
      <x:c r="J134" s="10"/>
      <x:c r="K134" s="10"/>
      <x:c r="L134" s="10"/>
      <x:c r="M134" s="10"/>
      <x:c r="N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1"/>
      <x:c r="J135" s="10"/>
      <x:c r="K135" s="10"/>
      <x:c r="L135" s="10"/>
      <x:c r="M135" s="10"/>
      <x:c r="N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1"/>
      <x:c r="J136" s="10"/>
      <x:c r="K136" s="10"/>
      <x:c r="L136" s="10"/>
      <x:c r="M136" s="10"/>
      <x:c r="N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1"/>
      <x:c r="J137" s="10"/>
      <x:c r="K137" s="10"/>
      <x:c r="L137" s="10"/>
      <x:c r="M137" s="10"/>
      <x:c r="N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1"/>
      <x:c r="J138" s="10"/>
      <x:c r="K138" s="10"/>
      <x:c r="L138" s="10"/>
      <x:c r="M138" s="10"/>
      <x:c r="N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1"/>
      <x:c r="J139" s="10"/>
      <x:c r="K139" s="10"/>
      <x:c r="L139" s="10"/>
      <x:c r="M139" s="10"/>
      <x:c r="N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1"/>
      <x:c r="J140" s="10"/>
      <x:c r="K140" s="10"/>
      <x:c r="L140" s="10"/>
      <x:c r="M140" s="10"/>
      <x:c r="N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1"/>
      <x:c r="J141" s="10"/>
      <x:c r="K141" s="10"/>
      <x:c r="L141" s="10"/>
      <x:c r="M141" s="10"/>
      <x:c r="N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1"/>
      <x:c r="J142" s="10"/>
      <x:c r="K142" s="10"/>
      <x:c r="L142" s="10"/>
      <x:c r="M142" s="10"/>
      <x:c r="N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1"/>
      <x:c r="J143" s="10"/>
      <x:c r="K143" s="10"/>
      <x:c r="L143" s="10"/>
      <x:c r="M143" s="10"/>
      <x:c r="N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1"/>
      <x:c r="J144" s="10"/>
      <x:c r="K144" s="10"/>
      <x:c r="L144" s="10"/>
      <x:c r="M144" s="10"/>
      <x:c r="N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1"/>
      <x:c r="J145" s="10"/>
      <x:c r="K145" s="10"/>
      <x:c r="L145" s="10"/>
      <x:c r="M145" s="10"/>
      <x:c r="N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1"/>
      <x:c r="J146" s="10"/>
      <x:c r="K146" s="10"/>
      <x:c r="L146" s="10"/>
      <x:c r="M146" s="10"/>
      <x:c r="N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1"/>
      <x:c r="J147" s="10"/>
      <x:c r="K147" s="10"/>
      <x:c r="L147" s="10"/>
      <x:c r="M147" s="10"/>
      <x:c r="N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1"/>
      <x:c r="J148" s="10"/>
      <x:c r="K148" s="10"/>
      <x:c r="L148" s="10"/>
      <x:c r="M148" s="10"/>
      <x:c r="N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1"/>
      <x:c r="J149" s="10"/>
      <x:c r="K149" s="10"/>
      <x:c r="L149" s="10"/>
      <x:c r="M149" s="10"/>
      <x:c r="N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1"/>
      <x:c r="J150" s="10"/>
      <x:c r="K150" s="10"/>
      <x:c r="L150" s="10"/>
      <x:c r="M150" s="10"/>
      <x:c r="N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1"/>
      <x:c r="J151" s="10"/>
      <x:c r="K151" s="10"/>
      <x:c r="L151" s="10"/>
      <x:c r="M151" s="10"/>
      <x:c r="N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1"/>
      <x:c r="J152" s="10"/>
      <x:c r="K152" s="10"/>
      <x:c r="L152" s="10"/>
      <x:c r="M152" s="10"/>
      <x:c r="N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1"/>
      <x:c r="J153" s="10"/>
      <x:c r="K153" s="10"/>
      <x:c r="L153" s="10"/>
      <x:c r="M153" s="10"/>
      <x:c r="N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1"/>
      <x:c r="J154" s="10"/>
      <x:c r="K154" s="10"/>
      <x:c r="L154" s="10"/>
      <x:c r="M154" s="10"/>
      <x:c r="N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1"/>
      <x:c r="J155" s="10"/>
      <x:c r="K155" s="10"/>
      <x:c r="L155" s="10"/>
      <x:c r="M155" s="10"/>
      <x:c r="N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1"/>
      <x:c r="J156" s="10"/>
      <x:c r="K156" s="10"/>
      <x:c r="L156" s="10"/>
      <x:c r="M156" s="10"/>
      <x:c r="N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1"/>
      <x:c r="J157" s="10"/>
      <x:c r="K157" s="10"/>
      <x:c r="L157" s="10"/>
      <x:c r="M157" s="10"/>
      <x:c r="N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1"/>
      <x:c r="J158" s="10"/>
      <x:c r="K158" s="10"/>
      <x:c r="L158" s="10"/>
      <x:c r="M158" s="10"/>
      <x:c r="N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1"/>
      <x:c r="J159" s="10"/>
      <x:c r="K159" s="10"/>
      <x:c r="L159" s="10"/>
      <x:c r="M159" s="10"/>
      <x:c r="N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1"/>
      <x:c r="J160" s="10"/>
      <x:c r="K160" s="10"/>
      <x:c r="L160" s="10"/>
      <x:c r="M160" s="10"/>
      <x:c r="N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1"/>
      <x:c r="J161" s="10"/>
      <x:c r="K161" s="10"/>
      <x:c r="L161" s="10"/>
      <x:c r="M161" s="10"/>
      <x:c r="N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1"/>
      <x:c r="J162" s="10"/>
      <x:c r="K162" s="10"/>
      <x:c r="L162" s="10"/>
      <x:c r="M162" s="10"/>
      <x:c r="N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1"/>
      <x:c r="J163" s="10"/>
      <x:c r="K163" s="10"/>
      <x:c r="L163" s="10"/>
      <x:c r="M163" s="10"/>
      <x:c r="N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1"/>
      <x:c r="J164" s="10"/>
      <x:c r="K164" s="10"/>
      <x:c r="L164" s="10"/>
      <x:c r="M164" s="10"/>
      <x:c r="N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1"/>
      <x:c r="J165" s="10"/>
      <x:c r="K165" s="10"/>
      <x:c r="L165" s="10"/>
      <x:c r="M165" s="10"/>
      <x:c r="N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1"/>
      <x:c r="J166" s="10"/>
      <x:c r="K166" s="10"/>
      <x:c r="L166" s="10"/>
      <x:c r="M166" s="10"/>
      <x:c r="N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1"/>
      <x:c r="J167" s="10"/>
      <x:c r="K167" s="10"/>
      <x:c r="L167" s="10"/>
      <x:c r="M167" s="10"/>
      <x:c r="N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1"/>
      <x:c r="J168" s="10"/>
      <x:c r="K168" s="10"/>
      <x:c r="L168" s="10"/>
      <x:c r="M168" s="10"/>
      <x:c r="N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1"/>
      <x:c r="J169" s="10"/>
      <x:c r="K169" s="10"/>
      <x:c r="L169" s="10"/>
      <x:c r="M169" s="10"/>
      <x:c r="N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1"/>
      <x:c r="J170" s="10"/>
      <x:c r="K170" s="10"/>
      <x:c r="L170" s="10"/>
      <x:c r="M170" s="10"/>
      <x:c r="N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1"/>
      <x:c r="J171" s="10"/>
      <x:c r="K171" s="10"/>
      <x:c r="L171" s="10"/>
      <x:c r="M171" s="10"/>
      <x:c r="N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1"/>
      <x:c r="J172" s="10"/>
      <x:c r="K172" s="10"/>
      <x:c r="L172" s="10"/>
      <x:c r="M172" s="10"/>
      <x:c r="N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1"/>
      <x:c r="J173" s="10"/>
      <x:c r="K173" s="10"/>
      <x:c r="L173" s="10"/>
      <x:c r="M173" s="10"/>
      <x:c r="N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1"/>
      <x:c r="J174" s="10"/>
      <x:c r="K174" s="10"/>
      <x:c r="L174" s="10"/>
      <x:c r="M174" s="10"/>
      <x:c r="N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1"/>
      <x:c r="J175" s="10"/>
      <x:c r="K175" s="10"/>
      <x:c r="L175" s="10"/>
      <x:c r="M175" s="10"/>
      <x:c r="N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1"/>
      <x:c r="J176" s="10"/>
      <x:c r="K176" s="10"/>
      <x:c r="L176" s="10"/>
      <x:c r="M176" s="10"/>
      <x:c r="N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1"/>
      <x:c r="J177" s="10"/>
      <x:c r="K177" s="10"/>
      <x:c r="L177" s="10"/>
      <x:c r="M177" s="10"/>
      <x:c r="N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1"/>
      <x:c r="J178" s="10"/>
      <x:c r="K178" s="10"/>
      <x:c r="L178" s="10"/>
      <x:c r="M178" s="10"/>
      <x:c r="N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1"/>
      <x:c r="J179" s="10"/>
      <x:c r="K179" s="10"/>
      <x:c r="L179" s="10"/>
      <x:c r="M179" s="10"/>
      <x:c r="N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1"/>
      <x:c r="J180" s="10"/>
      <x:c r="K180" s="10"/>
      <x:c r="L180" s="10"/>
      <x:c r="M180" s="10"/>
      <x:c r="N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1"/>
      <x:c r="J181" s="10"/>
      <x:c r="K181" s="10"/>
      <x:c r="L181" s="10"/>
      <x:c r="M181" s="10"/>
      <x:c r="N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1"/>
      <x:c r="J182" s="10"/>
      <x:c r="K182" s="10"/>
      <x:c r="L182" s="10"/>
      <x:c r="M182" s="10"/>
      <x:c r="N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1"/>
      <x:c r="J183" s="10"/>
      <x:c r="K183" s="10"/>
      <x:c r="L183" s="10"/>
      <x:c r="M183" s="10"/>
      <x:c r="N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1"/>
      <x:c r="J184" s="10"/>
      <x:c r="K184" s="10"/>
      <x:c r="L184" s="10"/>
      <x:c r="M184" s="10"/>
      <x:c r="N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1"/>
      <x:c r="J185" s="10"/>
      <x:c r="K185" s="10"/>
      <x:c r="L185" s="10"/>
      <x:c r="M185" s="10"/>
      <x:c r="N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1"/>
      <x:c r="J186" s="10"/>
      <x:c r="K186" s="10"/>
      <x:c r="L186" s="10"/>
      <x:c r="M186" s="10"/>
      <x:c r="N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1"/>
      <x:c r="J187" s="10"/>
      <x:c r="K187" s="10"/>
      <x:c r="L187" s="10"/>
      <x:c r="M187" s="10"/>
      <x:c r="N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1"/>
      <x:c r="J188" s="10"/>
      <x:c r="K188" s="10"/>
      <x:c r="L188" s="10"/>
      <x:c r="M188" s="10"/>
      <x:c r="N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1"/>
      <x:c r="J189" s="10"/>
      <x:c r="K189" s="10"/>
      <x:c r="L189" s="10"/>
      <x:c r="M189" s="10"/>
      <x:c r="N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1"/>
      <x:c r="J190" s="10"/>
      <x:c r="K190" s="10"/>
      <x:c r="L190" s="10"/>
      <x:c r="M190" s="10"/>
      <x:c r="N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1"/>
      <x:c r="J191" s="10"/>
      <x:c r="K191" s="10"/>
      <x:c r="L191" s="10"/>
      <x:c r="M191" s="10"/>
      <x:c r="N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1"/>
      <x:c r="J192" s="10"/>
      <x:c r="K192" s="10"/>
      <x:c r="L192" s="10"/>
      <x:c r="M192" s="10"/>
      <x:c r="N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1"/>
      <x:c r="J193" s="10"/>
      <x:c r="K193" s="10"/>
      <x:c r="L193" s="10"/>
      <x:c r="M193" s="10"/>
      <x:c r="N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1"/>
      <x:c r="J194" s="10"/>
      <x:c r="K194" s="10"/>
      <x:c r="L194" s="10"/>
      <x:c r="M194" s="10"/>
      <x:c r="N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1"/>
      <x:c r="J195" s="10"/>
      <x:c r="K195" s="10"/>
      <x:c r="L195" s="10"/>
      <x:c r="M195" s="10"/>
      <x:c r="N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1"/>
      <x:c r="J196" s="10"/>
      <x:c r="K196" s="10"/>
      <x:c r="L196" s="10"/>
      <x:c r="M196" s="10"/>
      <x:c r="N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1"/>
      <x:c r="J197" s="10"/>
      <x:c r="K197" s="10"/>
      <x:c r="L197" s="10"/>
      <x:c r="M197" s="10"/>
      <x:c r="N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1"/>
      <x:c r="J198" s="10"/>
      <x:c r="K198" s="10"/>
      <x:c r="L198" s="10"/>
      <x:c r="M198" s="10"/>
      <x:c r="N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1"/>
      <x:c r="J199" s="10"/>
      <x:c r="K199" s="10"/>
      <x:c r="L199" s="10"/>
      <x:c r="M199" s="10"/>
      <x:c r="N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1"/>
      <x:c r="J200" s="10"/>
      <x:c r="K200" s="10"/>
      <x:c r="L200" s="10"/>
      <x:c r="M200" s="10"/>
      <x:c r="N200" s="10"/>
    </x:row>
  </x:sheetData>
  <x:dataValidations count="2">
    <x:dataValidation type="list" sqref="J2:J200">
      <x:formula1>"Pendiente,Aprobado,Fallido,Bloqueado,No aplica"</x:formula1>
    </x:dataValidation>
    <x:dataValidation type="list" sqref="L2:L200">
      <x:formula1>"Critica,Alta,Media,Baja"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ca3f92abf14b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8.75" hidden="0" customWidth="1"/>
    <x:col min="3" max="3" width="26.25" hidden="0" customWidth="1"/>
    <x:col min="4" max="4" width="42.5" hidden="0" customWidth="1"/>
    <x:col min="5" max="5" width="11.25" hidden="0" customWidth="1"/>
    <x:col min="6" max="6" width="18.75" hidden="0" customWidth="1"/>
    <x:col min="7" max="7" width="15" hidden="0" customWidth="1"/>
    <x:col min="8" max="8" width="27.5" hidden="0" customWidth="1"/>
    <x:col min="9" max="9" width="32.5" hidden="0" customWidth="1"/>
  </x:cols>
  <x:sheetData>
    <x:row r="1">
      <x:c r="A1" s="20" t="str">
        <x:v>ID</x:v>
      </x:c>
      <x:c r="B1" s="20" t="str">
        <x:v>Sesion</x:v>
      </x:c>
      <x:c r="C1" s="20" t="str">
        <x:v>Audiencia</x:v>
      </x:c>
      <x:c r="D1" s="20" t="str">
        <x:v>Objetivo</x:v>
      </x:c>
      <x:c r="E1" s="20" t="str">
        <x:v>Duracion</x:v>
      </x:c>
      <x:c r="F1" s="20" t="str">
        <x:v>Facilitador</x:v>
      </x:c>
      <x:c r="G1" s="20" t="str">
        <x:v>Estado</x:v>
      </x:c>
      <x:c r="H1" s="20" t="str">
        <x:v>Evidencia</x:v>
      </x:c>
      <x:c r="I1" s="20" t="str">
        <x:v>Notas</x:v>
      </x:c>
    </x:row>
    <x:row r="2">
      <x:c r="A2" s="10" t="str">
        <x:v>S01</x:v>
      </x:c>
      <x:c r="B2" s="10" t="str">
        <x:v>Kickoff UAT Analistas</x:v>
      </x:c>
      <x:c r="C2" s="10" t="str">
        <x:v>Analistas piloto, Owner</x:v>
      </x:c>
      <x:c r="D2" s="10" t="str">
        <x:v>Alinear alcance, reglas y calendario UAT</x:v>
      </x:c>
      <x:c r="E2" s="10" t="str">
        <x:v>45 min</x:v>
      </x:c>
      <x:c r="F2" s="10" t="str">
        <x:v>Scrum Master</x:v>
      </x:c>
      <x:c r="G2" s="10" t="str">
        <x:v>Pendiente</x:v>
      </x:c>
      <x:c r="H2" s="10" t="str"/>
      <x:c r="I2" s="10" t="str"/>
    </x:row>
    <x:row r="3">
      <x:c r="A3" s="10" t="str">
        <x:v>S02</x:v>
      </x:c>
      <x:c r="B3" s="10" t="str">
        <x:v>Capacitacion Dashboard y filtros</x:v>
      </x:c>
      <x:c r="C3" s="10" t="str">
        <x:v>Analistas piloto</x:v>
      </x:c>
      <x:c r="D3" s="10" t="str">
        <x:v>Leer Vision general, Pulso operativo y filtros del dashboard</x:v>
      </x:c>
      <x:c r="E3" s="10" t="str">
        <x:v>60 min</x:v>
      </x:c>
      <x:c r="F3" s="10" t="str">
        <x:v>Scrum Master</x:v>
      </x:c>
      <x:c r="G3" s="10" t="str">
        <x:v>Pendiente</x:v>
      </x:c>
      <x:c r="H3" s="10" t="str"/>
      <x:c r="I3" s="10" t="str"/>
    </x:row>
    <x:row r="4">
      <x:c r="A4" s="10" t="str">
        <x:v>S03</x:v>
      </x:c>
      <x:c r="B4" s="10" t="str">
        <x:v>Capacitacion Kanban acciones RUN</x:v>
      </x:c>
      <x:c r="C4" s="10" t="str">
        <x:v>Analistas piloto</x:v>
      </x:c>
      <x:c r="D4" s="10" t="str">
        <x:v>Crear, editar, asignar, filtrar y cerrar acciones RUN</x:v>
      </x:c>
      <x:c r="E4" s="10" t="str">
        <x:v>75 min</x:v>
      </x:c>
      <x:c r="F4" s="10" t="str">
        <x:v>Scrum Master</x:v>
      </x:c>
      <x:c r="G4" s="10" t="str">
        <x:v>Pendiente</x:v>
      </x:c>
      <x:c r="H4" s="10" t="str"/>
      <x:c r="I4" s="10" t="str"/>
    </x:row>
    <x:row r="5">
      <x:c r="A5" s="10" t="str">
        <x:v>S04</x:v>
      </x:c>
      <x:c r="B5" s="10" t="str">
        <x:v>Capacitacion Academia</x:v>
      </x:c>
      <x:c r="C5" s="10" t="str">
        <x:v>Analistas piloto</x:v>
      </x:c>
      <x:c r="D5" s="10" t="str">
        <x:v>Completar pasos, quiz y validar progreso persistente</x:v>
      </x:c>
      <x:c r="E5" s="10" t="str">
        <x:v>45 min</x:v>
      </x:c>
      <x:c r="F5" s="10" t="str">
        <x:v>Scrum Master</x:v>
      </x:c>
      <x:c r="G5" s="10" t="str">
        <x:v>Pendiente</x:v>
      </x:c>
      <x:c r="H5" s="10" t="str"/>
      <x:c r="I5" s="10" t="str"/>
    </x:row>
    <x:row r="6">
      <x:c r="A6" s="10" t="str">
        <x:v>S05</x:v>
      </x:c>
      <x:c r="B6" s="10" t="str">
        <x:v>Capacitacion Calendario</x:v>
      </x:c>
      <x:c r="C6" s="10" t="str">
        <x:v>Analistas piloto</x:v>
      </x:c>
      <x:c r="D6" s="10" t="str">
        <x:v>Navegar calendario, filtrar elementos, crear recordatorios y minutas</x:v>
      </x:c>
      <x:c r="E6" s="10" t="str">
        <x:v>60 min</x:v>
      </x:c>
      <x:c r="F6" s="10" t="str">
        <x:v>Scrum Master</x:v>
      </x:c>
      <x:c r="G6" s="10" t="str">
        <x:v>Pendiente</x:v>
      </x:c>
      <x:c r="H6" s="10" t="str"/>
      <x:c r="I6" s="10" t="str"/>
    </x:row>
    <x:row r="7">
      <x:c r="A7" s="10" t="str">
        <x:v>S06</x:v>
      </x:c>
      <x:c r="B7" s="10" t="str">
        <x:v>UAT guiado por modulo</x:v>
      </x:c>
      <x:c r="C7" s="10" t="str">
        <x:v>Analistas piloto</x:v>
      </x:c>
      <x:c r="D7" s="10" t="str">
        <x:v>Ejecutar casos Dashboard, Kanban, Academia y Calendario</x:v>
      </x:c>
      <x:c r="E7" s="10" t="str">
        <x:v>120 min</x:v>
      </x:c>
      <x:c r="F7" s="10" t="str">
        <x:v>Scrum Master</x:v>
      </x:c>
      <x:c r="G7" s="10" t="str">
        <x:v>Pendiente</x:v>
      </x:c>
      <x:c r="H7" s="10" t="str"/>
      <x:c r="I7" s="10" t="str"/>
    </x:row>
    <x:row r="8">
      <x:c r="A8" s="10" t="str">
        <x:v>S07</x:v>
      </x:c>
      <x:c r="B8" s="10" t="str">
        <x:v>Reprueba y cierre</x:v>
      </x:c>
      <x:c r="C8" s="10" t="str">
        <x:v>Analistas piloto, Owner</x:v>
      </x:c>
      <x:c r="D8" s="10" t="str">
        <x:v>Validar correcciones y acordar salida por modulo</x:v>
      </x:c>
      <x:c r="E8" s="10" t="str">
        <x:v>60 min</x:v>
      </x:c>
      <x:c r="F8" s="10" t="str">
        <x:v>Scrum Master</x:v>
      </x:c>
      <x:c r="G8" s="10" t="str">
        <x:v>Pendiente</x:v>
      </x:c>
      <x:c r="H8" s="10" t="str"/>
      <x:c r="I8" s="10" t="str"/>
    </x:row>
  </x:sheetData>
  <x:dataValidations count="1">
    <x:dataValidation type="list" sqref="G2:G100">
      <x:formula1>"Pendiente,Programada,Completada,Reprogramada,Cancelada"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54ae5d90746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3.75" hidden="0" customWidth="1"/>
    <x:col min="3" max="3" width="45" hidden="0" customWidth="1"/>
    <x:col min="4" max="4" width="13.130000114440918" hidden="0" customWidth="1"/>
    <x:col min="5" max="5" width="14.380000114440918" hidden="0" customWidth="1"/>
    <x:col min="6" max="6" width="45" hidden="0" customWidth="1"/>
    <x:col min="7" max="7" width="15" hidden="0" customWidth="1"/>
    <x:col min="8" max="8" width="21.25" hidden="0" customWidth="1"/>
    <x:col min="9" max="9" width="15" hidden="0" customWidth="1"/>
  </x:cols>
  <x:sheetData>
    <x:row r="1">
      <x:c r="A1" s="20" t="str">
        <x:v>ID</x:v>
      </x:c>
      <x:c r="B1" s="20" t="str">
        <x:v>Tipo</x:v>
      </x:c>
      <x:c r="C1" s="20" t="str">
        <x:v>Riesgo / Impedimento</x:v>
      </x:c>
      <x:c r="D1" s="20" t="str">
        <x:v>Impacto</x:v>
      </x:c>
      <x:c r="E1" s="20" t="str">
        <x:v>Probabilidad</x:v>
      </x:c>
      <x:c r="F1" s="20" t="str">
        <x:v>Mitigacion</x:v>
      </x:c>
      <x:c r="G1" s="20" t="str">
        <x:v>Estado</x:v>
      </x:c>
      <x:c r="H1" s="20" t="str">
        <x:v>Responsable</x:v>
      </x:c>
      <x:c r="I1" s="20" t="str">
        <x:v>Fecha objetivo</x:v>
      </x:c>
    </x:row>
    <x:row r="2">
      <x:c r="A2" s="10" t="str">
        <x:v>R01</x:v>
      </x:c>
      <x:c r="B2" s="10" t="str">
        <x:v>Adopcion</x:v>
      </x:c>
      <x:c r="C2" s="10" t="str">
        <x:v>Usuarios no capturan acciones en el tablero y siguen usando seguimiento manual.</x:v>
      </x:c>
      <x:c r="D2" s="10" t="str">
        <x:v>Alta</x:v>
      </x:c>
      <x:c r="E2" s="10" t="str">
        <x:v>Media</x:v>
      </x:c>
      <x:c r="F2" s="10" t="str">
        <x:v>Usar tablero en junta diaria/semanal y revisar acciones reales.</x:v>
      </x:c>
      <x:c r="G2" s="10" t="str">
        <x:v>Abierto</x:v>
      </x:c>
      <x:c r="H2" s="10" t="str">
        <x:v>Scrum Master</x:v>
      </x:c>
      <x:c r="I2" s="11" t="str"/>
    </x:row>
    <x:row r="3">
      <x:c r="A3" s="10" t="str">
        <x:v>R02</x:v>
      </x:c>
      <x:c r="B3" s="10" t="str">
        <x:v>Datos</x:v>
      </x:c>
      <x:c r="C3" s="10" t="str">
        <x:v>Catalogos de areas, prioridades o usuarios incompletos.</x:v>
      </x:c>
      <x:c r="D3" s="10" t="str">
        <x:v>Alta</x:v>
      </x:c>
      <x:c r="E3" s="10" t="str">
        <x:v>Media</x:v>
      </x:c>
      <x:c r="F3" s="10" t="str">
        <x:v>Validar catalogos antes del UAT y nombrar responsable de mantenimiento.</x:v>
      </x:c>
      <x:c r="G3" s="10" t="str">
        <x:v>Abierto</x:v>
      </x:c>
      <x:c r="H3" s="10" t="str">
        <x:v>Admin</x:v>
      </x:c>
      <x:c r="I3" s="11" t="str"/>
    </x:row>
    <x:row r="4">
      <x:c r="A4" s="10" t="str">
        <x:v>R03</x:v>
      </x:c>
      <x:c r="B4" s="10" t="str">
        <x:v>Permisos</x:v>
      </x:c>
      <x:c r="C4" s="10" t="str">
        <x:v>Rol Analista ve mas o menos modulos de los esperados.</x:v>
      </x:c>
      <x:c r="D4" s="10" t="str">
        <x:v>Alta</x:v>
      </x:c>
      <x:c r="E4" s="10" t="str">
        <x:v>Baja</x:v>
      </x:c>
      <x:c r="F4" s="10" t="str">
        <x:v>Ejecutar casos SEC antes del piloto amplio.</x:v>
      </x:c>
      <x:c r="G4" s="10" t="str">
        <x:v>Abierto</x:v>
      </x:c>
      <x:c r="H4" s="10" t="str">
        <x:v>Equipo tecnico</x:v>
      </x:c>
      <x:c r="I4" s="11" t="str"/>
    </x:row>
    <x:row r="5">
      <x:c r="A5" s="10" t="str">
        <x:v>R04</x:v>
      </x:c>
      <x:c r="B5" s="10" t="str">
        <x:v>Proceso</x:v>
      </x:c>
      <x:c r="C5" s="10" t="str">
        <x:v>No hay acuerdo sobre responsable de cumplimiento.</x:v>
      </x:c>
      <x:c r="D5" s="10" t="str">
        <x:v>Media</x:v>
      </x:c>
      <x:c r="E5" s="10" t="str">
        <x:v>Media</x:v>
      </x:c>
      <x:c r="F5" s="10" t="str">
        <x:v>Definir regla operativa: responsable es quien debe cerrar la accion.</x:v>
      </x:c>
      <x:c r="G5" s="10" t="str">
        <x:v>Abierto</x:v>
      </x:c>
      <x:c r="H5" s="10" t="str">
        <x:v>Scrum Master</x:v>
      </x:c>
      <x:c r="I5" s="11" t="str"/>
    </x:row>
    <x:row r="6">
      <x:c r="A6" s="10" t="str">
        <x:v>R05</x:v>
      </x:c>
      <x:c r="B6" s="10" t="str">
        <x:v>Calidad</x:v>
      </x:c>
      <x:c r="C6" s="10" t="str">
        <x:v>Defectos criticos aparecen cerca del cierre.</x:v>
      </x:c>
      <x:c r="D6" s="10" t="str">
        <x:v>Alta</x:v>
      </x:c>
      <x:c r="E6" s="10" t="str">
        <x:v>Baja</x:v>
      </x:c>
      <x:c r="F6" s="10" t="str">
        <x:v>Bloquear salida si hay criticos abiertos y hacer reprueba dirigida.</x:v>
      </x:c>
      <x:c r="G6" s="10" t="str">
        <x:v>Abierto</x:v>
      </x:c>
      <x:c r="H6" s="10" t="str">
        <x:v>Owner / Tecnico</x:v>
      </x:c>
      <x:c r="I6" s="11" t="str"/>
    </x:row>
    <x:row r="7">
      <x:c r="A7" s="10"/>
      <x:c r="B7" s="10"/>
      <x:c r="C7" s="10"/>
      <x:c r="D7" s="10"/>
      <x:c r="E7" s="10"/>
      <x:c r="F7" s="10"/>
      <x:c r="G7" s="10"/>
      <x:c r="H7" s="10"/>
      <x:c r="I7" s="11"/>
    </x:row>
    <x:row r="8">
      <x:c r="A8" s="10"/>
      <x:c r="B8" s="10"/>
      <x:c r="C8" s="10"/>
      <x:c r="D8" s="10"/>
      <x:c r="E8" s="10"/>
      <x:c r="F8" s="10"/>
      <x:c r="G8" s="10"/>
      <x:c r="H8" s="10"/>
      <x:c r="I8" s="11"/>
    </x:row>
    <x:row r="9">
      <x:c r="A9" s="10"/>
      <x:c r="B9" s="10"/>
      <x:c r="C9" s="10"/>
      <x:c r="D9" s="10"/>
      <x:c r="E9" s="10"/>
      <x:c r="F9" s="10"/>
      <x:c r="G9" s="10"/>
      <x:c r="H9" s="10"/>
      <x:c r="I9" s="11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1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1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1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1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1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1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1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1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1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1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1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1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1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1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1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1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1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1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1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1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1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1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1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1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1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1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1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1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1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1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1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1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1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1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1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1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1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1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1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1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1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1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1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1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1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1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1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1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1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1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1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1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1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1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1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1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1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1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1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1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1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1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1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1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1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1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1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1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1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1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1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1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1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1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1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1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1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1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1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1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1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1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1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1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1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1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1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1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1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1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1"/>
    </x:row>
  </x:sheetData>
  <x:dataValidations count="3">
    <x:dataValidation type="list" sqref="D2:D100">
      <x:formula1>"Critica,Alta,Media,Baja"</x:formula1>
    </x:dataValidation>
    <x:dataValidation type="list" sqref="E2:E100">
      <x:formula1>"Alta,Media,Baja"</x:formula1>
    </x:dataValidation>
    <x:dataValidation type="list" sqref="G2:G100">
      <x:formula1>"Abierto,En mitigacion,Cerrado"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0cfb7c84f44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32.5" hidden="0" customWidth="1"/>
    <x:col min="3" max="3" width="45" hidden="0" customWidth="1"/>
    <x:col min="4" max="4" width="20" hidden="0" customWidth="1"/>
    <x:col min="5" max="5" width="15" hidden="0" customWidth="1"/>
    <x:col min="6" max="6" width="42.5" hidden="0" customWidth="1"/>
  </x:cols>
  <x:sheetData>
    <x:row r="1">
      <x:c r="A1" s="20" t="str">
        <x:v>ID</x:v>
      </x:c>
      <x:c r="B1" s="20" t="str">
        <x:v>Criterio</x:v>
      </x:c>
      <x:c r="C1" s="20" t="str">
        <x:v>Validacion</x:v>
      </x:c>
      <x:c r="D1" s="20" t="str">
        <x:v>Responsable</x:v>
      </x:c>
      <x:c r="E1" s="20" t="str">
        <x:v>Estado</x:v>
      </x:c>
      <x:c r="F1" s="20" t="str">
        <x:v>Evidencia / Comentario</x:v>
      </x:c>
    </x:row>
    <x:row r="2">
      <x:c r="A2" s="10" t="str">
        <x:v>C01</x:v>
      </x:c>
      <x:c r="B2" s="10" t="str">
        <x:v>Permisos de Analista validados</x:v>
      </x:c>
      <x:c r="C2" s="10" t="str">
        <x:v>No ve Exportar, O2C restringido ni enlaces a matriz.</x:v>
      </x:c>
      <x:c r="D2" s="10" t="str">
        <x:v>Scrum Master</x:v>
      </x:c>
      <x:c r="E2" s="10" t="str">
        <x:v>Pendiente</x:v>
      </x:c>
      <x:c r="F2" s="10" t="str"/>
    </x:row>
    <x:row r="3">
      <x:c r="A3" s="10" t="str">
        <x:v>C02</x:v>
      </x:c>
      <x:c r="B3" s="10" t="str">
        <x:v>UAT funcional aprobado</x:v>
      </x:c>
      <x:c r="C3" s="10" t="str">
        <x:v>&gt;= 95% de casos aprobados.</x:v>
      </x:c>
      <x:c r="D3" s="10" t="str">
        <x:v>Scrum Master</x:v>
      </x:c>
      <x:c r="E3" s="10" t="str">
        <x:v>Pendiente</x:v>
      </x:c>
      <x:c r="F3" s="10" t="str"/>
    </x:row>
    <x:row r="4">
      <x:c r="A4" s="10" t="str">
        <x:v>C03</x:v>
      </x:c>
      <x:c r="B4" s="10" t="str">
        <x:v>0 defectos criticos abiertos</x:v>
      </x:c>
      <x:c r="C4" s="10" t="str">
        <x:v>Todos los criticos cerrados o con workaround aprobado.</x:v>
      </x:c>
      <x:c r="D4" s="10" t="str">
        <x:v>Equipo tecnico</x:v>
      </x:c>
      <x:c r="E4" s="10" t="str">
        <x:v>Pendiente</x:v>
      </x:c>
      <x:c r="F4" s="10" t="str"/>
    </x:row>
    <x:row r="5">
      <x:c r="A5" s="10" t="str">
        <x:v>C04</x:v>
      </x:c>
      <x:c r="B5" s="10" t="str">
        <x:v>Catalogos base completos</x:v>
      </x:c>
      <x:c r="C5" s="10" t="str">
        <x:v>Usuarios, areas y prioridades activos.</x:v>
      </x:c>
      <x:c r="D5" s="10" t="str">
        <x:v>Admin</x:v>
      </x:c>
      <x:c r="E5" s="10" t="str">
        <x:v>Pendiente</x:v>
      </x:c>
      <x:c r="F5" s="10" t="str"/>
    </x:row>
    <x:row r="6">
      <x:c r="A6" s="10" t="str">
        <x:v>C05</x:v>
      </x:c>
      <x:c r="B6" s="10" t="str">
        <x:v>Usuarios piloto capacitados</x:v>
      </x:c>
      <x:c r="C6" s="10" t="str">
        <x:v>Sesiones completadas y asistencia registrada.</x:v>
      </x:c>
      <x:c r="D6" s="10" t="str">
        <x:v>Scrum Master</x:v>
      </x:c>
      <x:c r="E6" s="10" t="str">
        <x:v>Pendiente</x:v>
      </x:c>
      <x:c r="F6" s="10" t="str"/>
    </x:row>
    <x:row r="7">
      <x:c r="A7" s="10" t="str">
        <x:v>C06</x:v>
      </x:c>
      <x:c r="B7" s="10" t="str">
        <x:v>Regla operativa aceptada</x:v>
      </x:c>
      <x:c r="C7" s="10" t="str">
        <x:v>Responsable de cumplimiento, fecha limite y prioridad se usan consistentemente.</x:v>
      </x:c>
      <x:c r="D7" s="10" t="str">
        <x:v>Owner</x:v>
      </x:c>
      <x:c r="E7" s="10" t="str">
        <x:v>Pendiente</x:v>
      </x:c>
      <x:c r="F7" s="10" t="str"/>
    </x:row>
    <x:row r="8">
      <x:c r="A8" s="10" t="str">
        <x:v>C07</x:v>
      </x:c>
      <x:c r="B8" s="10" t="str">
        <x:v>Canal de soporte definido</x:v>
      </x:c>
      <x:c r="C8" s="10" t="str">
        <x:v>Ruta para reportar errores y mejoras.</x:v>
      </x:c>
      <x:c r="D8" s="10" t="str">
        <x:v>Scrum Master</x:v>
      </x:c>
      <x:c r="E8" s="10" t="str">
        <x:v>Pendiente</x:v>
      </x:c>
      <x:c r="F8" s="10" t="str"/>
    </x:row>
    <x:row r="9">
      <x:c r="A9" s="10" t="str">
        <x:v>C08</x:v>
      </x:c>
      <x:c r="B9" s="10" t="str">
        <x:v>Go/No-Go documentado</x:v>
      </x:c>
      <x:c r="C9" s="10" t="str">
        <x:v>Decision registrada con pendientes priorizados.</x:v>
      </x:c>
      <x:c r="D9" s="10" t="str">
        <x:v>Owner</x:v>
      </x:c>
      <x:c r="E9" s="10" t="str">
        <x:v>Pendiente</x:v>
      </x:c>
      <x:c r="F9" s="10" t="str"/>
    </x:row>
  </x:sheetData>
  <x:dataValidations count="1">
    <x:dataValidation type="list" sqref="E2:E100">
      <x:formula1>"Pendiente,Cumple,No cumple,Bloqueado"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ee8ae65a8146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40" hidden="0" customWidth="1"/>
    <x:col min="3" max="3" width="45" hidden="0" customWidth="1"/>
    <x:col min="4" max="4" width="15" hidden="0" customWidth="1"/>
    <x:col min="5" max="5" width="13.75" hidden="0" customWidth="1"/>
    <x:col min="6" max="6" width="13.75" hidden="0" customWidth="1"/>
    <x:col min="7" max="7" width="21.25" hidden="0" customWidth="1"/>
    <x:col min="8" max="8" width="22.5" hidden="0" customWidth="1"/>
    <x:col min="9" max="9" width="12.5" hidden="0" customWidth="1"/>
    <x:col min="10" max="10" width="37.5" hidden="0" customWidth="1"/>
  </x:cols>
  <x:sheetData>
    <x:row r="1">
      <x:c r="A1" s="20" t="str">
        <x:v>Modulo</x:v>
      </x:c>
      <x:c r="B1" s="20" t="str">
        <x:v>Objetivo de salida</x:v>
      </x:c>
      <x:c r="C1" s="20" t="str">
        <x:v>Criterios minimos</x:v>
      </x:c>
      <x:c r="D1" s="20" t="str">
        <x:v>Casos UAT esperados</x:v>
      </x:c>
      <x:c r="E1" s="20" t="str">
        <x:v>% Aprobado</x:v>
      </x:c>
      <x:c r="F1" s="20" t="str">
        <x:v>Bloqueadores</x:v>
      </x:c>
      <x:c r="G1" s="20" t="str">
        <x:v>Estado</x:v>
      </x:c>
      <x:c r="H1" s="20" t="str">
        <x:v>Responsable validacion</x:v>
      </x:c>
      <x:c r="I1" s="20" t="str">
        <x:v>Go/No-Go</x:v>
      </x:c>
      <x:c r="J1" s="20" t="str">
        <x:v>Observaciones</x:v>
      </x:c>
    </x:row>
    <x:row r="2">
      <x:c r="A2" s="10" t="str">
        <x:v>Dashboard</x:v>
      </x:c>
      <x:c r="B2" s="10" t="str">
        <x:v>Analista puede usar Vision general para seguimiento operativo.</x:v>
      </x:c>
      <x:c r="C2" s="10" t="str">
        <x:v>Acceso correcto, visibilidad limitada, filtros y resumen funcionando.</x:v>
      </x:c>
      <x:c r="D2" s="10" t="n">
        <x:f>COUNTIF(UAT!B2:B200,"Dashboard")</x:f>
        <x:v>7</x:v>
      </x:c>
      <x:c r="E2" s="17" t="n">
        <x:f>IFERROR(COUNTIFS(UAT!B2:B200,A2,UAT!J2:J200,"Aprobado")/D2,0)</x:f>
        <x:v>0</x:v>
      </x:c>
      <x:c r="F2" s="10" t="n">
        <x:f>COUNTIFS(UAT!B2:B200,A2,UAT!J2:J200,"Bloqueado")</x:f>
        <x:v>0</x:v>
      </x:c>
      <x:c r="G2" s="10" t="str">
        <x:v>No iniciado</x:v>
      </x:c>
      <x:c r="H2" s="10" t="str">
        <x:v>Scrum Master</x:v>
      </x:c>
      <x:c r="I2" s="10" t="str">
        <x:f>IF(AND(E2&gt;=0.95,F2=0),"Go","No-Go")</x:f>
        <x:v>No-Go</x:v>
      </x:c>
      <x:c r="J2" s="10" t="str"/>
    </x:row>
    <x:row r="3">
      <x:c r="A3" s="10" t="str">
        <x:v>Kanban</x:v>
      </x:c>
      <x:c r="B3" s="10" t="str">
        <x:v>Analista puede operar acciones RUN de punta a punta.</x:v>
      </x:c>
      <x:c r="C3" s="10" t="str">
        <x:v>Crear, editar, cambiar estado, alternar vistas y filtrar acciones.</x:v>
      </x:c>
      <x:c r="D3" s="10" t="n">
        <x:f>COUNTIF(UAT!B2:B200,"Kanban")</x:f>
        <x:v>8</x:v>
      </x:c>
      <x:c r="E3" s="17" t="n">
        <x:f>IFERROR(COUNTIFS(UAT!B2:B200,A3,UAT!J2:J200,"Aprobado")/D3,0)</x:f>
        <x:v>0</x:v>
      </x:c>
      <x:c r="F3" s="10" t="n">
        <x:f>COUNTIFS(UAT!B2:B200,A3,UAT!J2:J200,"Bloqueado")</x:f>
        <x:v>0</x:v>
      </x:c>
      <x:c r="G3" s="10" t="str">
        <x:v>No iniciado</x:v>
      </x:c>
      <x:c r="H3" s="10" t="str">
        <x:v>Scrum Master</x:v>
      </x:c>
      <x:c r="I3" s="10" t="str">
        <x:f>IF(AND(E3&gt;=0.95,F3=0),"Go","No-Go")</x:f>
        <x:v>No-Go</x:v>
      </x:c>
      <x:c r="J3" s="10" t="str"/>
    </x:row>
    <x:row r="4">
      <x:c r="A4" s="10" t="str">
        <x:v>Academia</x:v>
      </x:c>
      <x:c r="B4" s="10" t="str">
        <x:v>Analista puede avanzar en ruta formativa con progreso persistente.</x:v>
      </x:c>
      <x:c r="C4" s="10" t="str">
        <x:v>Modulos, pasos, quiz, desbloqueo y persistencia funcionando.</x:v>
      </x:c>
      <x:c r="D4" s="10" t="n">
        <x:f>COUNTIF(UAT!B2:B200,"Academia")</x:f>
        <x:v>7</x:v>
      </x:c>
      <x:c r="E4" s="17" t="n">
        <x:f>IFERROR(COUNTIFS(UAT!B2:B200,A4,UAT!J2:J200,"Aprobado")/D4,0)</x:f>
        <x:v>0</x:v>
      </x:c>
      <x:c r="F4" s="10" t="n">
        <x:f>COUNTIFS(UAT!B2:B200,A4,UAT!J2:J200,"Bloqueado")</x:f>
        <x:v>0</x:v>
      </x:c>
      <x:c r="G4" s="10" t="str">
        <x:v>No iniciado</x:v>
      </x:c>
      <x:c r="H4" s="10" t="str">
        <x:v>Scrum Master</x:v>
      </x:c>
      <x:c r="I4" s="10" t="str">
        <x:f>IF(AND(E4&gt;=0.95,F4=0),"Go","No-Go")</x:f>
        <x:v>No-Go</x:v>
      </x:c>
      <x:c r="J4" s="10" t="str"/>
    </x:row>
    <x:row r="5">
      <x:c r="A5" s="10" t="str">
        <x:v>Calendario</x:v>
      </x:c>
      <x:c r="B5" s="10" t="str">
        <x:v>Analista puede planear y consultar acciones, recordatorios y minutas.</x:v>
      </x:c>
      <x:c r="C5" s="10" t="str">
        <x:v>Navegacion mensual, filtros, detalle por dia, recordatorios, minutas y edicion de accion.</x:v>
      </x:c>
      <x:c r="D5" s="10" t="n">
        <x:f>COUNTIF(UAT!B2:B200,"Calendario")</x:f>
        <x:v>8</x:v>
      </x:c>
      <x:c r="E5" s="17" t="n">
        <x:f>IFERROR(COUNTIFS(UAT!B2:B200,A5,UAT!J2:J200,"Aprobado")/D5,0)</x:f>
        <x:v>0</x:v>
      </x:c>
      <x:c r="F5" s="10" t="n">
        <x:f>COUNTIFS(UAT!B2:B200,A5,UAT!J2:J200,"Bloqueado")</x:f>
        <x:v>0</x:v>
      </x:c>
      <x:c r="G5" s="10" t="str">
        <x:v>No iniciado</x:v>
      </x:c>
      <x:c r="H5" s="10" t="str">
        <x:v>Scrum Master</x:v>
      </x:c>
      <x:c r="I5" s="10" t="str">
        <x:f>IF(AND(E5&gt;=0.95,F5=0),"Go","No-Go")</x:f>
        <x:v>No-Go</x:v>
      </x:c>
      <x:c r="J5" s="10" t="str"/>
    </x:row>
    <x:row r="6">
      <x:c r="A6" s="10"/>
      <x:c r="B6" s="10"/>
      <x:c r="C6" s="10"/>
      <x:c r="D6" s="10"/>
      <x:c r="E6" s="17"/>
      <x:c r="F6" s="10"/>
      <x:c r="G6" s="10"/>
      <x:c r="H6" s="10"/>
      <x:c r="I6" s="10"/>
      <x:c r="J6" s="10"/>
    </x:row>
    <x:row r="7">
      <x:c r="A7" s="10"/>
      <x:c r="B7" s="10"/>
      <x:c r="C7" s="10"/>
      <x:c r="D7" s="10"/>
      <x:c r="E7" s="17"/>
      <x:c r="F7" s="10"/>
      <x:c r="G7" s="10"/>
      <x:c r="H7" s="10"/>
      <x:c r="I7" s="10"/>
      <x:c r="J7" s="10"/>
    </x:row>
    <x:row r="8">
      <x:c r="A8" s="10"/>
      <x:c r="B8" s="10"/>
      <x:c r="C8" s="10"/>
      <x:c r="D8" s="10"/>
      <x:c r="E8" s="17"/>
      <x:c r="F8" s="10"/>
      <x:c r="G8" s="10"/>
      <x:c r="H8" s="10"/>
      <x:c r="I8" s="10"/>
      <x:c r="J8" s="10"/>
    </x:row>
    <x:row r="9">
      <x:c r="A9" s="10"/>
      <x:c r="B9" s="10"/>
      <x:c r="C9" s="10"/>
      <x:c r="D9" s="10"/>
      <x:c r="E9" s="17"/>
      <x:c r="F9" s="10"/>
      <x:c r="G9" s="10"/>
      <x:c r="H9" s="10"/>
      <x:c r="I9" s="10"/>
      <x:c r="J9" s="10"/>
    </x:row>
    <x:row r="10">
      <x:c r="A10" s="10"/>
      <x:c r="B10" s="10"/>
      <x:c r="C10" s="10"/>
      <x:c r="D10" s="10"/>
      <x:c r="E10" s="17"/>
      <x:c r="F10" s="10"/>
      <x:c r="G10" s="10"/>
      <x:c r="H10" s="10"/>
      <x:c r="I10" s="10"/>
      <x:c r="J10" s="10"/>
    </x:row>
    <x:row r="11">
      <x:c r="A11" s="10"/>
      <x:c r="B11" s="10"/>
      <x:c r="C11" s="10"/>
      <x:c r="D11" s="10"/>
      <x:c r="E11" s="17"/>
      <x:c r="F11" s="10"/>
      <x:c r="G11" s="10"/>
      <x:c r="H11" s="10"/>
      <x:c r="I11" s="10"/>
      <x:c r="J11" s="10"/>
    </x:row>
    <x:row r="12">
      <x:c r="A12" s="10"/>
      <x:c r="B12" s="10"/>
      <x:c r="C12" s="10"/>
      <x:c r="D12" s="10"/>
      <x:c r="E12" s="17"/>
      <x:c r="F12" s="10"/>
      <x:c r="G12" s="10"/>
      <x:c r="H12" s="10"/>
      <x:c r="I12" s="10"/>
      <x:c r="J12" s="10"/>
    </x:row>
    <x:row r="13">
      <x:c r="A13" s="10"/>
      <x:c r="B13" s="10"/>
      <x:c r="C13" s="10"/>
      <x:c r="D13" s="10"/>
      <x:c r="E13" s="17"/>
      <x:c r="F13" s="10"/>
      <x:c r="G13" s="10"/>
      <x:c r="H13" s="10"/>
      <x:c r="I13" s="10"/>
      <x:c r="J13" s="10"/>
    </x:row>
    <x:row r="14">
      <x:c r="A14" s="10"/>
      <x:c r="B14" s="10"/>
      <x:c r="C14" s="10"/>
      <x:c r="D14" s="10"/>
      <x:c r="E14" s="17"/>
      <x:c r="F14" s="10"/>
      <x:c r="G14" s="10"/>
      <x:c r="H14" s="10"/>
      <x:c r="I14" s="10"/>
      <x:c r="J14" s="10"/>
    </x:row>
    <x:row r="15">
      <x:c r="A15" s="10"/>
      <x:c r="B15" s="10"/>
      <x:c r="C15" s="10"/>
      <x:c r="D15" s="10"/>
      <x:c r="E15" s="17"/>
      <x:c r="F15" s="10"/>
      <x:c r="G15" s="10"/>
      <x:c r="H15" s="10"/>
      <x:c r="I15" s="10"/>
      <x:c r="J15" s="10"/>
    </x:row>
    <x:row r="16">
      <x:c r="A16" s="10"/>
      <x:c r="B16" s="10"/>
      <x:c r="C16" s="10"/>
      <x:c r="D16" s="10"/>
      <x:c r="E16" s="17"/>
      <x:c r="F16" s="10"/>
      <x:c r="G16" s="10"/>
      <x:c r="H16" s="10"/>
      <x:c r="I16" s="10"/>
      <x:c r="J16" s="10"/>
    </x:row>
    <x:row r="17">
      <x:c r="A17" s="10"/>
      <x:c r="B17" s="10"/>
      <x:c r="C17" s="10"/>
      <x:c r="D17" s="10"/>
      <x:c r="E17" s="17"/>
      <x:c r="F17" s="10"/>
      <x:c r="G17" s="10"/>
      <x:c r="H17" s="10"/>
      <x:c r="I17" s="10"/>
      <x:c r="J17" s="10"/>
    </x:row>
    <x:row r="18">
      <x:c r="A18" s="10"/>
      <x:c r="B18" s="10"/>
      <x:c r="C18" s="10"/>
      <x:c r="D18" s="10"/>
      <x:c r="E18" s="17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7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7"/>
      <x:c r="F20" s="10"/>
      <x:c r="G20" s="10"/>
      <x:c r="H20" s="10"/>
      <x:c r="I20" s="10"/>
      <x:c r="J20" s="10"/>
    </x:row>
    <x:row r="21">
      <x:c r="A21" s="10"/>
      <x:c r="B21" s="10"/>
      <x:c r="C21" s="10"/>
      <x:c r="D21" s="10"/>
      <x:c r="E21" s="17"/>
      <x:c r="F21" s="10"/>
      <x:c r="G21" s="10"/>
      <x:c r="H21" s="10"/>
      <x:c r="I21" s="10"/>
      <x:c r="J21" s="10"/>
    </x:row>
    <x:row r="22">
      <x:c r="A22" s="10"/>
      <x:c r="B22" s="10"/>
      <x:c r="C22" s="10"/>
      <x:c r="D22" s="10"/>
      <x:c r="E22" s="17"/>
      <x:c r="F22" s="10"/>
      <x:c r="G22" s="10"/>
      <x:c r="H22" s="10"/>
      <x:c r="I22" s="10"/>
      <x:c r="J22" s="10"/>
    </x:row>
    <x:row r="23">
      <x:c r="A23" s="10"/>
      <x:c r="B23" s="10"/>
      <x:c r="C23" s="10"/>
      <x:c r="D23" s="10"/>
      <x:c r="E23" s="17"/>
      <x:c r="F23" s="10"/>
      <x:c r="G23" s="10"/>
      <x:c r="H23" s="10"/>
      <x:c r="I23" s="10"/>
      <x:c r="J23" s="10"/>
    </x:row>
    <x:row r="24">
      <x:c r="A24" s="10"/>
      <x:c r="B24" s="10"/>
      <x:c r="C24" s="10"/>
      <x:c r="D24" s="10"/>
      <x:c r="E24" s="17"/>
      <x:c r="F24" s="10"/>
      <x:c r="G24" s="10"/>
      <x:c r="H24" s="10"/>
      <x:c r="I24" s="10"/>
      <x:c r="J24" s="10"/>
    </x:row>
    <x:row r="25">
      <x:c r="A25" s="10"/>
      <x:c r="B25" s="10"/>
      <x:c r="C25" s="10"/>
      <x:c r="D25" s="10"/>
      <x:c r="E25" s="17"/>
      <x:c r="F25" s="10"/>
      <x:c r="G25" s="10"/>
      <x:c r="H25" s="10"/>
      <x:c r="I25" s="10"/>
      <x:c r="J25" s="10"/>
    </x:row>
    <x:row r="26">
      <x:c r="A26" s="10"/>
      <x:c r="B26" s="10"/>
      <x:c r="C26" s="10"/>
      <x:c r="D26" s="10"/>
      <x:c r="E26" s="17"/>
      <x:c r="F26" s="10"/>
      <x:c r="G26" s="10"/>
      <x:c r="H26" s="10"/>
      <x:c r="I26" s="10"/>
      <x:c r="J26" s="10"/>
    </x:row>
    <x:row r="27">
      <x:c r="A27" s="10"/>
      <x:c r="B27" s="10"/>
      <x:c r="C27" s="10"/>
      <x:c r="D27" s="10"/>
      <x:c r="E27" s="17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7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7"/>
      <x:c r="F29" s="10"/>
      <x:c r="G29" s="10"/>
      <x:c r="H29" s="10"/>
      <x:c r="I29" s="10"/>
      <x:c r="J29" s="10"/>
    </x:row>
    <x:row r="30">
      <x:c r="A30" s="10"/>
      <x:c r="B30" s="10"/>
      <x:c r="C30" s="10"/>
      <x:c r="D30" s="10"/>
      <x:c r="E30" s="17"/>
      <x:c r="F30" s="10"/>
      <x:c r="G30" s="10"/>
      <x:c r="H30" s="10"/>
      <x:c r="I30" s="10"/>
      <x:c r="J30" s="10"/>
    </x:row>
    <x:row r="31">
      <x:c r="A31" s="10"/>
      <x:c r="B31" s="10"/>
      <x:c r="C31" s="10"/>
      <x:c r="D31" s="10"/>
      <x:c r="E31" s="17"/>
      <x:c r="F31" s="10"/>
      <x:c r="G31" s="10"/>
      <x:c r="H31" s="10"/>
      <x:c r="I31" s="10"/>
      <x:c r="J31" s="10"/>
    </x:row>
    <x:row r="32">
      <x:c r="A32" s="10"/>
      <x:c r="B32" s="10"/>
      <x:c r="C32" s="10"/>
      <x:c r="D32" s="10"/>
      <x:c r="E32" s="17"/>
      <x:c r="F32" s="10"/>
      <x:c r="G32" s="10"/>
      <x:c r="H32" s="10"/>
      <x:c r="I32" s="10"/>
      <x:c r="J32" s="10"/>
    </x:row>
    <x:row r="33">
      <x:c r="A33" s="10"/>
      <x:c r="B33" s="10"/>
      <x:c r="C33" s="10"/>
      <x:c r="D33" s="10"/>
      <x:c r="E33" s="17"/>
      <x:c r="F33" s="10"/>
      <x:c r="G33" s="10"/>
      <x:c r="H33" s="10"/>
      <x:c r="I33" s="10"/>
      <x:c r="J33" s="10"/>
    </x:row>
    <x:row r="34">
      <x:c r="A34" s="10"/>
      <x:c r="B34" s="10"/>
      <x:c r="C34" s="10"/>
      <x:c r="D34" s="10"/>
      <x:c r="E34" s="17"/>
      <x:c r="F34" s="10"/>
      <x:c r="G34" s="10"/>
      <x:c r="H34" s="10"/>
      <x:c r="I34" s="10"/>
      <x:c r="J34" s="10"/>
    </x:row>
    <x:row r="35">
      <x:c r="A35" s="10"/>
      <x:c r="B35" s="10"/>
      <x:c r="C35" s="10"/>
      <x:c r="D35" s="10"/>
      <x:c r="E35" s="17"/>
      <x:c r="F35" s="10"/>
      <x:c r="G35" s="10"/>
      <x:c r="H35" s="10"/>
      <x:c r="I35" s="10"/>
      <x:c r="J35" s="10"/>
    </x:row>
    <x:row r="36">
      <x:c r="A36" s="10"/>
      <x:c r="B36" s="10"/>
      <x:c r="C36" s="10"/>
      <x:c r="D36" s="10"/>
      <x:c r="E36" s="17"/>
      <x:c r="F36" s="10"/>
      <x:c r="G36" s="10"/>
      <x:c r="H36" s="10"/>
      <x:c r="I36" s="10"/>
      <x:c r="J36" s="10"/>
    </x:row>
    <x:row r="37">
      <x:c r="A37" s="10"/>
      <x:c r="B37" s="10"/>
      <x:c r="C37" s="10"/>
      <x:c r="D37" s="10"/>
      <x:c r="E37" s="17"/>
      <x:c r="F37" s="10"/>
      <x:c r="G37" s="10"/>
      <x:c r="H37" s="10"/>
      <x:c r="I37" s="10"/>
      <x:c r="J37" s="10"/>
    </x:row>
    <x:row r="38">
      <x:c r="A38" s="10"/>
      <x:c r="B38" s="10"/>
      <x:c r="C38" s="10"/>
      <x:c r="D38" s="10"/>
      <x:c r="E38" s="17"/>
      <x:c r="F38" s="10"/>
      <x:c r="G38" s="10"/>
      <x:c r="H38" s="10"/>
      <x:c r="I38" s="10"/>
      <x:c r="J38" s="10"/>
    </x:row>
    <x:row r="39">
      <x:c r="A39" s="10"/>
      <x:c r="B39" s="10"/>
      <x:c r="C39" s="10"/>
      <x:c r="D39" s="10"/>
      <x:c r="E39" s="17"/>
      <x:c r="F39" s="10"/>
      <x:c r="G39" s="10"/>
      <x:c r="H39" s="10"/>
      <x:c r="I39" s="10"/>
      <x:c r="J39" s="10"/>
    </x:row>
    <x:row r="40">
      <x:c r="A40" s="10"/>
      <x:c r="B40" s="10"/>
      <x:c r="C40" s="10"/>
      <x:c r="D40" s="10"/>
      <x:c r="E40" s="17"/>
      <x:c r="F40" s="10"/>
      <x:c r="G40" s="10"/>
      <x:c r="H40" s="10"/>
      <x:c r="I40" s="10"/>
      <x:c r="J40" s="10"/>
    </x:row>
    <x:row r="41">
      <x:c r="A41" s="10"/>
      <x:c r="B41" s="10"/>
      <x:c r="C41" s="10"/>
      <x:c r="D41" s="10"/>
      <x:c r="E41" s="17"/>
      <x:c r="F41" s="10"/>
      <x:c r="G41" s="10"/>
      <x:c r="H41" s="10"/>
      <x:c r="I41" s="10"/>
      <x:c r="J41" s="10"/>
    </x:row>
    <x:row r="42">
      <x:c r="A42" s="10"/>
      <x:c r="B42" s="10"/>
      <x:c r="C42" s="10"/>
      <x:c r="D42" s="10"/>
      <x:c r="E42" s="17"/>
      <x:c r="F42" s="10"/>
      <x:c r="G42" s="10"/>
      <x:c r="H42" s="10"/>
      <x:c r="I42" s="10"/>
      <x:c r="J42" s="10"/>
    </x:row>
    <x:row r="43">
      <x:c r="A43" s="10"/>
      <x:c r="B43" s="10"/>
      <x:c r="C43" s="10"/>
      <x:c r="D43" s="10"/>
      <x:c r="E43" s="17"/>
      <x:c r="F43" s="10"/>
      <x:c r="G43" s="10"/>
      <x:c r="H43" s="10"/>
      <x:c r="I43" s="10"/>
      <x:c r="J43" s="10"/>
    </x:row>
    <x:row r="44">
      <x:c r="A44" s="10"/>
      <x:c r="B44" s="10"/>
      <x:c r="C44" s="10"/>
      <x:c r="D44" s="10"/>
      <x:c r="E44" s="17"/>
      <x:c r="F44" s="10"/>
      <x:c r="G44" s="10"/>
      <x:c r="H44" s="10"/>
      <x:c r="I44" s="10"/>
      <x:c r="J44" s="10"/>
    </x:row>
    <x:row r="45">
      <x:c r="A45" s="10"/>
      <x:c r="B45" s="10"/>
      <x:c r="C45" s="10"/>
      <x:c r="D45" s="10"/>
      <x:c r="E45" s="17"/>
      <x:c r="F45" s="10"/>
      <x:c r="G45" s="10"/>
      <x:c r="H45" s="10"/>
      <x:c r="I45" s="10"/>
      <x:c r="J45" s="10"/>
    </x:row>
    <x:row r="46">
      <x:c r="A46" s="10"/>
      <x:c r="B46" s="10"/>
      <x:c r="C46" s="10"/>
      <x:c r="D46" s="10"/>
      <x:c r="E46" s="17"/>
      <x:c r="F46" s="10"/>
      <x:c r="G46" s="10"/>
      <x:c r="H46" s="10"/>
      <x:c r="I46" s="10"/>
      <x:c r="J46" s="10"/>
    </x:row>
    <x:row r="47">
      <x:c r="A47" s="10"/>
      <x:c r="B47" s="10"/>
      <x:c r="C47" s="10"/>
      <x:c r="D47" s="10"/>
      <x:c r="E47" s="17"/>
      <x:c r="F47" s="10"/>
      <x:c r="G47" s="10"/>
      <x:c r="H47" s="10"/>
      <x:c r="I47" s="10"/>
      <x:c r="J47" s="10"/>
    </x:row>
    <x:row r="48">
      <x:c r="A48" s="10"/>
      <x:c r="B48" s="10"/>
      <x:c r="C48" s="10"/>
      <x:c r="D48" s="10"/>
      <x:c r="E48" s="17"/>
      <x:c r="F48" s="10"/>
      <x:c r="G48" s="10"/>
      <x:c r="H48" s="10"/>
      <x:c r="I48" s="10"/>
      <x:c r="J48" s="10"/>
    </x:row>
    <x:row r="49">
      <x:c r="A49" s="10"/>
      <x:c r="B49" s="10"/>
      <x:c r="C49" s="10"/>
      <x:c r="D49" s="10"/>
      <x:c r="E49" s="17"/>
      <x:c r="F49" s="10"/>
      <x:c r="G49" s="10"/>
      <x:c r="H49" s="10"/>
      <x:c r="I49" s="10"/>
      <x:c r="J49" s="10"/>
    </x:row>
    <x:row r="50">
      <x:c r="A50" s="10"/>
      <x:c r="B50" s="10"/>
      <x:c r="C50" s="10"/>
      <x:c r="D50" s="10"/>
      <x:c r="E50" s="17"/>
      <x:c r="F50" s="10"/>
      <x:c r="G50" s="10"/>
      <x:c r="H50" s="10"/>
      <x:c r="I50" s="10"/>
      <x:c r="J50" s="10"/>
    </x:row>
    <x:row r="51">
      <x:c r="A51" s="10"/>
      <x:c r="B51" s="10"/>
      <x:c r="C51" s="10"/>
      <x:c r="D51" s="10"/>
      <x:c r="E51" s="17"/>
      <x:c r="F51" s="10"/>
      <x:c r="G51" s="10"/>
      <x:c r="H51" s="10"/>
      <x:c r="I51" s="10"/>
      <x:c r="J51" s="10"/>
    </x:row>
    <x:row r="52">
      <x:c r="A52" s="10"/>
      <x:c r="B52" s="10"/>
      <x:c r="C52" s="10"/>
      <x:c r="D52" s="10"/>
      <x:c r="E52" s="17"/>
      <x:c r="F52" s="10"/>
      <x:c r="G52" s="10"/>
      <x:c r="H52" s="10"/>
      <x:c r="I52" s="10"/>
      <x:c r="J52" s="10"/>
    </x:row>
    <x:row r="53">
      <x:c r="A53" s="10"/>
      <x:c r="B53" s="10"/>
      <x:c r="C53" s="10"/>
      <x:c r="D53" s="10"/>
      <x:c r="E53" s="17"/>
      <x:c r="F53" s="10"/>
      <x:c r="G53" s="10"/>
      <x:c r="H53" s="10"/>
      <x:c r="I53" s="10"/>
      <x:c r="J53" s="10"/>
    </x:row>
    <x:row r="54">
      <x:c r="A54" s="10"/>
      <x:c r="B54" s="10"/>
      <x:c r="C54" s="10"/>
      <x:c r="D54" s="10"/>
      <x:c r="E54" s="17"/>
      <x:c r="F54" s="10"/>
      <x:c r="G54" s="10"/>
      <x:c r="H54" s="10"/>
      <x:c r="I54" s="10"/>
      <x:c r="J54" s="10"/>
    </x:row>
    <x:row r="55">
      <x:c r="A55" s="10"/>
      <x:c r="B55" s="10"/>
      <x:c r="C55" s="10"/>
      <x:c r="D55" s="10"/>
      <x:c r="E55" s="17"/>
      <x:c r="F55" s="10"/>
      <x:c r="G55" s="10"/>
      <x:c r="H55" s="10"/>
      <x:c r="I55" s="10"/>
      <x:c r="J55" s="10"/>
    </x:row>
    <x:row r="56">
      <x:c r="A56" s="10"/>
      <x:c r="B56" s="10"/>
      <x:c r="C56" s="10"/>
      <x:c r="D56" s="10"/>
      <x:c r="E56" s="17"/>
      <x:c r="F56" s="10"/>
      <x:c r="G56" s="10"/>
      <x:c r="H56" s="10"/>
      <x:c r="I56" s="10"/>
      <x:c r="J56" s="10"/>
    </x:row>
    <x:row r="57">
      <x:c r="A57" s="10"/>
      <x:c r="B57" s="10"/>
      <x:c r="C57" s="10"/>
      <x:c r="D57" s="10"/>
      <x:c r="E57" s="17"/>
      <x:c r="F57" s="10"/>
      <x:c r="G57" s="10"/>
      <x:c r="H57" s="10"/>
      <x:c r="I57" s="10"/>
      <x:c r="J57" s="10"/>
    </x:row>
    <x:row r="58">
      <x:c r="A58" s="10"/>
      <x:c r="B58" s="10"/>
      <x:c r="C58" s="10"/>
      <x:c r="D58" s="10"/>
      <x:c r="E58" s="17"/>
      <x:c r="F58" s="10"/>
      <x:c r="G58" s="10"/>
      <x:c r="H58" s="10"/>
      <x:c r="I58" s="10"/>
      <x:c r="J58" s="10"/>
    </x:row>
    <x:row r="59">
      <x:c r="A59" s="10"/>
      <x:c r="B59" s="10"/>
      <x:c r="C59" s="10"/>
      <x:c r="D59" s="10"/>
      <x:c r="E59" s="17"/>
      <x:c r="F59" s="10"/>
      <x:c r="G59" s="10"/>
      <x:c r="H59" s="10"/>
      <x:c r="I59" s="10"/>
      <x:c r="J59" s="10"/>
    </x:row>
    <x:row r="60">
      <x:c r="A60" s="10"/>
      <x:c r="B60" s="10"/>
      <x:c r="C60" s="10"/>
      <x:c r="D60" s="10"/>
      <x:c r="E60" s="17"/>
      <x:c r="F60" s="10"/>
      <x:c r="G60" s="10"/>
      <x:c r="H60" s="10"/>
      <x:c r="I60" s="10"/>
      <x:c r="J60" s="10"/>
    </x:row>
    <x:row r="61">
      <x:c r="A61" s="10"/>
      <x:c r="B61" s="10"/>
      <x:c r="C61" s="10"/>
      <x:c r="D61" s="10"/>
      <x:c r="E61" s="17"/>
      <x:c r="F61" s="10"/>
      <x:c r="G61" s="10"/>
      <x:c r="H61" s="10"/>
      <x:c r="I61" s="10"/>
      <x:c r="J61" s="10"/>
    </x:row>
    <x:row r="62">
      <x:c r="A62" s="10"/>
      <x:c r="B62" s="10"/>
      <x:c r="C62" s="10"/>
      <x:c r="D62" s="10"/>
      <x:c r="E62" s="17"/>
      <x:c r="F62" s="10"/>
      <x:c r="G62" s="10"/>
      <x:c r="H62" s="10"/>
      <x:c r="I62" s="10"/>
      <x:c r="J62" s="10"/>
    </x:row>
    <x:row r="63">
      <x:c r="A63" s="10"/>
      <x:c r="B63" s="10"/>
      <x:c r="C63" s="10"/>
      <x:c r="D63" s="10"/>
      <x:c r="E63" s="17"/>
      <x:c r="F63" s="10"/>
      <x:c r="G63" s="10"/>
      <x:c r="H63" s="10"/>
      <x:c r="I63" s="10"/>
      <x:c r="J63" s="10"/>
    </x:row>
    <x:row r="64">
      <x:c r="A64" s="10"/>
      <x:c r="B64" s="10"/>
      <x:c r="C64" s="10"/>
      <x:c r="D64" s="10"/>
      <x:c r="E64" s="17"/>
      <x:c r="F64" s="10"/>
      <x:c r="G64" s="10"/>
      <x:c r="H64" s="10"/>
      <x:c r="I64" s="10"/>
      <x:c r="J64" s="10"/>
    </x:row>
    <x:row r="65">
      <x:c r="A65" s="10"/>
      <x:c r="B65" s="10"/>
      <x:c r="C65" s="10"/>
      <x:c r="D65" s="10"/>
      <x:c r="E65" s="17"/>
      <x:c r="F65" s="10"/>
      <x:c r="G65" s="10"/>
      <x:c r="H65" s="10"/>
      <x:c r="I65" s="10"/>
      <x:c r="J65" s="10"/>
    </x:row>
    <x:row r="66">
      <x:c r="A66" s="10"/>
      <x:c r="B66" s="10"/>
      <x:c r="C66" s="10"/>
      <x:c r="D66" s="10"/>
      <x:c r="E66" s="17"/>
      <x:c r="F66" s="10"/>
      <x:c r="G66" s="10"/>
      <x:c r="H66" s="10"/>
      <x:c r="I66" s="10"/>
      <x:c r="J66" s="10"/>
    </x:row>
    <x:row r="67">
      <x:c r="A67" s="10"/>
      <x:c r="B67" s="10"/>
      <x:c r="C67" s="10"/>
      <x:c r="D67" s="10"/>
      <x:c r="E67" s="17"/>
      <x:c r="F67" s="10"/>
      <x:c r="G67" s="10"/>
      <x:c r="H67" s="10"/>
      <x:c r="I67" s="10"/>
      <x:c r="J67" s="10"/>
    </x:row>
    <x:row r="68">
      <x:c r="A68" s="10"/>
      <x:c r="B68" s="10"/>
      <x:c r="C68" s="10"/>
      <x:c r="D68" s="10"/>
      <x:c r="E68" s="17"/>
      <x:c r="F68" s="10"/>
      <x:c r="G68" s="10"/>
      <x:c r="H68" s="10"/>
      <x:c r="I68" s="10"/>
      <x:c r="J68" s="10"/>
    </x:row>
    <x:row r="69">
      <x:c r="A69" s="10"/>
      <x:c r="B69" s="10"/>
      <x:c r="C69" s="10"/>
      <x:c r="D69" s="10"/>
      <x:c r="E69" s="17"/>
      <x:c r="F69" s="10"/>
      <x:c r="G69" s="10"/>
      <x:c r="H69" s="10"/>
      <x:c r="I69" s="10"/>
      <x:c r="J69" s="10"/>
    </x:row>
    <x:row r="70">
      <x:c r="A70" s="10"/>
      <x:c r="B70" s="10"/>
      <x:c r="C70" s="10"/>
      <x:c r="D70" s="10"/>
      <x:c r="E70" s="17"/>
      <x:c r="F70" s="10"/>
      <x:c r="G70" s="10"/>
      <x:c r="H70" s="10"/>
      <x:c r="I70" s="10"/>
      <x:c r="J70" s="10"/>
    </x:row>
    <x:row r="71">
      <x:c r="A71" s="10"/>
      <x:c r="B71" s="10"/>
      <x:c r="C71" s="10"/>
      <x:c r="D71" s="10"/>
      <x:c r="E71" s="17"/>
      <x:c r="F71" s="10"/>
      <x:c r="G71" s="10"/>
      <x:c r="H71" s="10"/>
      <x:c r="I71" s="10"/>
      <x:c r="J71" s="10"/>
    </x:row>
    <x:row r="72">
      <x:c r="A72" s="10"/>
      <x:c r="B72" s="10"/>
      <x:c r="C72" s="10"/>
      <x:c r="D72" s="10"/>
      <x:c r="E72" s="17"/>
      <x:c r="F72" s="10"/>
      <x:c r="G72" s="10"/>
      <x:c r="H72" s="10"/>
      <x:c r="I72" s="10"/>
      <x:c r="J72" s="10"/>
    </x:row>
    <x:row r="73">
      <x:c r="A73" s="10"/>
      <x:c r="B73" s="10"/>
      <x:c r="C73" s="10"/>
      <x:c r="D73" s="10"/>
      <x:c r="E73" s="17"/>
      <x:c r="F73" s="10"/>
      <x:c r="G73" s="10"/>
      <x:c r="H73" s="10"/>
      <x:c r="I73" s="10"/>
      <x:c r="J73" s="10"/>
    </x:row>
    <x:row r="74">
      <x:c r="A74" s="10"/>
      <x:c r="B74" s="10"/>
      <x:c r="C74" s="10"/>
      <x:c r="D74" s="10"/>
      <x:c r="E74" s="17"/>
      <x:c r="F74" s="10"/>
      <x:c r="G74" s="10"/>
      <x:c r="H74" s="10"/>
      <x:c r="I74" s="10"/>
      <x:c r="J74" s="10"/>
    </x:row>
    <x:row r="75">
      <x:c r="A75" s="10"/>
      <x:c r="B75" s="10"/>
      <x:c r="C75" s="10"/>
      <x:c r="D75" s="10"/>
      <x:c r="E75" s="17"/>
      <x:c r="F75" s="10"/>
      <x:c r="G75" s="10"/>
      <x:c r="H75" s="10"/>
      <x:c r="I75" s="10"/>
      <x:c r="J75" s="10"/>
    </x:row>
    <x:row r="76">
      <x:c r="A76" s="10"/>
      <x:c r="B76" s="10"/>
      <x:c r="C76" s="10"/>
      <x:c r="D76" s="10"/>
      <x:c r="E76" s="17"/>
      <x:c r="F76" s="10"/>
      <x:c r="G76" s="10"/>
      <x:c r="H76" s="10"/>
      <x:c r="I76" s="10"/>
      <x:c r="J76" s="10"/>
    </x:row>
    <x:row r="77">
      <x:c r="A77" s="10"/>
      <x:c r="B77" s="10"/>
      <x:c r="C77" s="10"/>
      <x:c r="D77" s="10"/>
      <x:c r="E77" s="17"/>
      <x:c r="F77" s="10"/>
      <x:c r="G77" s="10"/>
      <x:c r="H77" s="10"/>
      <x:c r="I77" s="10"/>
      <x:c r="J77" s="10"/>
    </x:row>
    <x:row r="78">
      <x:c r="A78" s="10"/>
      <x:c r="B78" s="10"/>
      <x:c r="C78" s="10"/>
      <x:c r="D78" s="10"/>
      <x:c r="E78" s="17"/>
      <x:c r="F78" s="10"/>
      <x:c r="G78" s="10"/>
      <x:c r="H78" s="10"/>
      <x:c r="I78" s="10"/>
      <x:c r="J78" s="10"/>
    </x:row>
    <x:row r="79">
      <x:c r="A79" s="10"/>
      <x:c r="B79" s="10"/>
      <x:c r="C79" s="10"/>
      <x:c r="D79" s="10"/>
      <x:c r="E79" s="17"/>
      <x:c r="F79" s="10"/>
      <x:c r="G79" s="10"/>
      <x:c r="H79" s="10"/>
      <x:c r="I79" s="10"/>
      <x:c r="J79" s="10"/>
    </x:row>
    <x:row r="80">
      <x:c r="A80" s="10"/>
      <x:c r="B80" s="10"/>
      <x:c r="C80" s="10"/>
      <x:c r="D80" s="10"/>
      <x:c r="E80" s="17"/>
      <x:c r="F80" s="10"/>
      <x:c r="G80" s="10"/>
      <x:c r="H80" s="10"/>
      <x:c r="I80" s="10"/>
      <x:c r="J80" s="10"/>
    </x:row>
    <x:row r="81">
      <x:c r="A81" s="10"/>
      <x:c r="B81" s="10"/>
      <x:c r="C81" s="10"/>
      <x:c r="D81" s="10"/>
      <x:c r="E81" s="17"/>
      <x:c r="F81" s="10"/>
      <x:c r="G81" s="10"/>
      <x:c r="H81" s="10"/>
      <x:c r="I81" s="10"/>
      <x:c r="J81" s="10"/>
    </x:row>
    <x:row r="82">
      <x:c r="A82" s="10"/>
      <x:c r="B82" s="10"/>
      <x:c r="C82" s="10"/>
      <x:c r="D82" s="10"/>
      <x:c r="E82" s="17"/>
      <x:c r="F82" s="10"/>
      <x:c r="G82" s="10"/>
      <x:c r="H82" s="10"/>
      <x:c r="I82" s="10"/>
      <x:c r="J82" s="10"/>
    </x:row>
    <x:row r="83">
      <x:c r="A83" s="10"/>
      <x:c r="B83" s="10"/>
      <x:c r="C83" s="10"/>
      <x:c r="D83" s="10"/>
      <x:c r="E83" s="17"/>
      <x:c r="F83" s="10"/>
      <x:c r="G83" s="10"/>
      <x:c r="H83" s="10"/>
      <x:c r="I83" s="10"/>
      <x:c r="J83" s="10"/>
    </x:row>
    <x:row r="84">
      <x:c r="A84" s="10"/>
      <x:c r="B84" s="10"/>
      <x:c r="C84" s="10"/>
      <x:c r="D84" s="10"/>
      <x:c r="E84" s="17"/>
      <x:c r="F84" s="10"/>
      <x:c r="G84" s="10"/>
      <x:c r="H84" s="10"/>
      <x:c r="I84" s="10"/>
      <x:c r="J84" s="10"/>
    </x:row>
    <x:row r="85">
      <x:c r="A85" s="10"/>
      <x:c r="B85" s="10"/>
      <x:c r="C85" s="10"/>
      <x:c r="D85" s="10"/>
      <x:c r="E85" s="17"/>
      <x:c r="F85" s="10"/>
      <x:c r="G85" s="10"/>
      <x:c r="H85" s="10"/>
      <x:c r="I85" s="10"/>
      <x:c r="J85" s="10"/>
    </x:row>
    <x:row r="86">
      <x:c r="A86" s="10"/>
      <x:c r="B86" s="10"/>
      <x:c r="C86" s="10"/>
      <x:c r="D86" s="10"/>
      <x:c r="E86" s="17"/>
      <x:c r="F86" s="10"/>
      <x:c r="G86" s="10"/>
      <x:c r="H86" s="10"/>
      <x:c r="I86" s="10"/>
      <x:c r="J86" s="10"/>
    </x:row>
    <x:row r="87">
      <x:c r="A87" s="10"/>
      <x:c r="B87" s="10"/>
      <x:c r="C87" s="10"/>
      <x:c r="D87" s="10"/>
      <x:c r="E87" s="17"/>
      <x:c r="F87" s="10"/>
      <x:c r="G87" s="10"/>
      <x:c r="H87" s="10"/>
      <x:c r="I87" s="10"/>
      <x:c r="J87" s="10"/>
    </x:row>
    <x:row r="88">
      <x:c r="A88" s="10"/>
      <x:c r="B88" s="10"/>
      <x:c r="C88" s="10"/>
      <x:c r="D88" s="10"/>
      <x:c r="E88" s="17"/>
      <x:c r="F88" s="10"/>
      <x:c r="G88" s="10"/>
      <x:c r="H88" s="10"/>
      <x:c r="I88" s="10"/>
      <x:c r="J88" s="10"/>
    </x:row>
    <x:row r="89">
      <x:c r="A89" s="10"/>
      <x:c r="B89" s="10"/>
      <x:c r="C89" s="10"/>
      <x:c r="D89" s="10"/>
      <x:c r="E89" s="17"/>
      <x:c r="F89" s="10"/>
      <x:c r="G89" s="10"/>
      <x:c r="H89" s="10"/>
      <x:c r="I89" s="10"/>
      <x:c r="J89" s="10"/>
    </x:row>
    <x:row r="90">
      <x:c r="A90" s="10"/>
      <x:c r="B90" s="10"/>
      <x:c r="C90" s="10"/>
      <x:c r="D90" s="10"/>
      <x:c r="E90" s="17"/>
      <x:c r="F90" s="10"/>
      <x:c r="G90" s="10"/>
      <x:c r="H90" s="10"/>
      <x:c r="I90" s="10"/>
      <x:c r="J90" s="10"/>
    </x:row>
    <x:row r="91">
      <x:c r="A91" s="10"/>
      <x:c r="B91" s="10"/>
      <x:c r="C91" s="10"/>
      <x:c r="D91" s="10"/>
      <x:c r="E91" s="17"/>
      <x:c r="F91" s="10"/>
      <x:c r="G91" s="10"/>
      <x:c r="H91" s="10"/>
      <x:c r="I91" s="10"/>
      <x:c r="J91" s="10"/>
    </x:row>
    <x:row r="92">
      <x:c r="A92" s="10"/>
      <x:c r="B92" s="10"/>
      <x:c r="C92" s="10"/>
      <x:c r="D92" s="10"/>
      <x:c r="E92" s="17"/>
      <x:c r="F92" s="10"/>
      <x:c r="G92" s="10"/>
      <x:c r="H92" s="10"/>
      <x:c r="I92" s="10"/>
      <x:c r="J92" s="10"/>
    </x:row>
    <x:row r="93">
      <x:c r="A93" s="10"/>
      <x:c r="B93" s="10"/>
      <x:c r="C93" s="10"/>
      <x:c r="D93" s="10"/>
      <x:c r="E93" s="17"/>
      <x:c r="F93" s="10"/>
      <x:c r="G93" s="10"/>
      <x:c r="H93" s="10"/>
      <x:c r="I93" s="10"/>
      <x:c r="J93" s="10"/>
    </x:row>
    <x:row r="94">
      <x:c r="A94" s="10"/>
      <x:c r="B94" s="10"/>
      <x:c r="C94" s="10"/>
      <x:c r="D94" s="10"/>
      <x:c r="E94" s="17"/>
      <x:c r="F94" s="10"/>
      <x:c r="G94" s="10"/>
      <x:c r="H94" s="10"/>
      <x:c r="I94" s="10"/>
      <x:c r="J94" s="10"/>
    </x:row>
    <x:row r="95">
      <x:c r="A95" s="10"/>
      <x:c r="B95" s="10"/>
      <x:c r="C95" s="10"/>
      <x:c r="D95" s="10"/>
      <x:c r="E95" s="17"/>
      <x:c r="F95" s="10"/>
      <x:c r="G95" s="10"/>
      <x:c r="H95" s="10"/>
      <x:c r="I95" s="10"/>
      <x:c r="J95" s="10"/>
    </x:row>
    <x:row r="96">
      <x:c r="A96" s="10"/>
      <x:c r="B96" s="10"/>
      <x:c r="C96" s="10"/>
      <x:c r="D96" s="10"/>
      <x:c r="E96" s="17"/>
      <x:c r="F96" s="10"/>
      <x:c r="G96" s="10"/>
      <x:c r="H96" s="10"/>
      <x:c r="I96" s="10"/>
      <x:c r="J96" s="10"/>
    </x:row>
    <x:row r="97">
      <x:c r="A97" s="10"/>
      <x:c r="B97" s="10"/>
      <x:c r="C97" s="10"/>
      <x:c r="D97" s="10"/>
      <x:c r="E97" s="17"/>
      <x:c r="F97" s="10"/>
      <x:c r="G97" s="10"/>
      <x:c r="H97" s="10"/>
      <x:c r="I97" s="10"/>
      <x:c r="J97" s="10"/>
    </x:row>
    <x:row r="98">
      <x:c r="A98" s="10"/>
      <x:c r="B98" s="10"/>
      <x:c r="C98" s="10"/>
      <x:c r="D98" s="10"/>
      <x:c r="E98" s="17"/>
      <x:c r="F98" s="10"/>
      <x:c r="G98" s="10"/>
      <x:c r="H98" s="10"/>
      <x:c r="I98" s="10"/>
      <x:c r="J98" s="10"/>
    </x:row>
    <x:row r="99">
      <x:c r="A99" s="10"/>
      <x:c r="B99" s="10"/>
      <x:c r="C99" s="10"/>
      <x:c r="D99" s="10"/>
      <x:c r="E99" s="17"/>
      <x:c r="F99" s="10"/>
      <x:c r="G99" s="10"/>
      <x:c r="H99" s="10"/>
      <x:c r="I99" s="10"/>
      <x:c r="J99" s="10"/>
    </x:row>
    <x:row r="100">
      <x:c r="A100" s="10"/>
      <x:c r="B100" s="10"/>
      <x:c r="C100" s="10"/>
      <x:c r="D100" s="10"/>
      <x:c r="E100" s="17"/>
      <x:c r="F100" s="10"/>
      <x:c r="G100" s="10"/>
      <x:c r="H100" s="10"/>
      <x:c r="I100" s="10"/>
      <x:c r="J100" s="10"/>
    </x:row>
  </x:sheetData>
  <x:dataValidations count="1">
    <x:dataValidation type="list" sqref="G2:G100">
      <x:formula1>"No iniciado,En prueba,Aprobado,Aprobado con observaciones,Bloqueado"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8310078ccb410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1.8799991607666" hidden="0" customWidth="1"/>
    <x:col min="2" max="2" width="46.25" hidden="0" customWidth="1"/>
    <x:col min="3" max="3" width="22.5" hidden="0" customWidth="1"/>
    <x:col min="4" max="4" width="21.25" hidden="0" customWidth="1"/>
    <x:col min="5" max="5" width="27.5" hidden="0" customWidth="1"/>
    <x:col min="6" max="6" width="27.5" hidden="0" customWidth="1"/>
  </x:cols>
  <x:sheetData>
    <x:row r="1" ht="25.5" customHeight="1">
      <x:c r="A1" s="19" t="str">
        <x:v>Protocolo operativo para uso del tablero por Analistas</x:v>
      </x:c>
      <x:c r="B1" s="19" t="str"/>
      <x:c r="C1" s="19" t="str"/>
      <x:c r="D1" s="19" t="str"/>
      <x:c r="E1" s="19" t="str"/>
      <x:c r="F1" s="19" t="str"/>
    </x:row>
    <x:row r="2">
      <x:c r="A2" s="10"/>
      <x:c r="B2" s="10"/>
      <x:c r="C2" s="10"/>
      <x:c r="D2" s="10"/>
      <x:c r="E2" s="10"/>
      <x:c r="F2" s="10"/>
    </x:row>
    <x:row r="3">
      <x:c r="A3" s="20" t="str">
        <x:v>Regla</x:v>
      </x:c>
      <x:c r="B3" s="20" t="str">
        <x:v>Descripcion</x:v>
      </x:c>
      <x:c r="C3" s="20" t="str">
        <x:v>Cuando aplica</x:v>
      </x:c>
      <x:c r="D3" s="20" t="str">
        <x:v>Responsable</x:v>
      </x:c>
      <x:c r="E3" s="20" t="str">
        <x:v>Evidencia esperada</x:v>
      </x:c>
      <x:c r="F3" s="20" t="str">
        <x:v>Decision / salida</x:v>
      </x:c>
    </x:row>
    <x:row r="4">
      <x:c r="A4" s="10" t="str">
        <x:v>Captura minima</x:v>
      </x:c>
      <x:c r="B4" s="10" t="str">
        <x:v>Toda accion debe tener titulo, responsable de cumplimiento, fecha/hora limite, prioridad y area cuando aplique.</x:v>
      </x:c>
      <x:c r="C4" s="10" t="str">
        <x:v>Al crear accion</x:v>
      </x:c>
      <x:c r="D4" s="10" t="str">
        <x:v>Analista</x:v>
      </x:c>
      <x:c r="E4" s="10" t="str">
        <x:v>Accion creada</x:v>
      </x:c>
      <x:c r="F4" s="10" t="str">
        <x:v>Accion valida para seguimiento</x:v>
      </x:c>
    </x:row>
    <x:row r="5">
      <x:c r="A5" s="10" t="str">
        <x:v>Prioridad</x:v>
      </x:c>
      <x:c r="B5" s="10" t="str">
        <x:v>La prioridad se toma del catalogo vigente y expresa urgencia/impacto operativo.</x:v>
      </x:c>
      <x:c r="C5" s="10" t="str">
        <x:v>Crear/editar accion</x:v>
      </x:c>
      <x:c r="D5" s="10" t="str">
        <x:v>Analista</x:v>
      </x:c>
      <x:c r="E5" s="10" t="str">
        <x:v>Prioridad seleccionada</x:v>
      </x:c>
      <x:c r="F5" s="10" t="str">
        <x:v>Permite ordenar seguimiento</x:v>
      </x:c>
    </x:row>
    <x:row r="6">
      <x:c r="A6" s="10" t="str">
        <x:v>Responsable de cumplimiento</x:v>
      </x:c>
      <x:c r="B6" s="10" t="str">
        <x:v>Persona que debe ejecutar o asegurar el cierre de la accion.</x:v>
      </x:c>
      <x:c r="C6" s="10" t="str">
        <x:v>Crear/editar accion</x:v>
      </x:c>
      <x:c r="D6" s="10" t="str">
        <x:v>Analista / Lider area</x:v>
      </x:c>
      <x:c r="E6" s="10" t="str">
        <x:v>Responsable asignado</x:v>
      </x:c>
      <x:c r="F6" s="10" t="str">
        <x:v>Accountability visible</x:v>
      </x:c>
    </x:row>
    <x:row r="7">
      <x:c r="A7" s="10" t="str">
        <x:v>Fecha limite</x:v>
      </x:c>
      <x:c r="B7" s="10" t="str">
        <x:v>Compromiso operativo para seguimiento y alertas.</x:v>
      </x:c>
      <x:c r="C7" s="10" t="str">
        <x:v>Toda accion</x:v>
      </x:c>
      <x:c r="D7" s="10" t="str">
        <x:v>Analista</x:v>
      </x:c>
      <x:c r="E7" s="10" t="str">
        <x:v>Dia y hora limite</x:v>
      </x:c>
      <x:c r="F7" s="10" t="str">
        <x:v>Base para filtros y retrasos</x:v>
      </x:c>
    </x:row>
    <x:row r="8">
      <x:c r="A8" s="10" t="str">
        <x:v>Filtros</x:v>
      </x:c>
      <x:c r="B8" s="10" t="str">
        <x:v>Las juntas deben usar busqueda, rango de fechas, estado, prioridad, area, creada por y responsable.</x:v>
      </x:c>
      <x:c r="C8" s="10" t="str">
        <x:v>Junta operativa</x:v>
      </x:c>
      <x:c r="D8" s="10" t="str">
        <x:v>Scrum Master</x:v>
      </x:c>
      <x:c r="E8" s="10" t="str">
        <x:v>Vista filtrada</x:v>
      </x:c>
      <x:c r="F8" s="10" t="str">
        <x:v>Foco de conversacion</x:v>
      </x:c>
    </x:row>
    <x:row r="9">
      <x:c r="A9" s="10" t="str">
        <x:v>Cambio de estado</x:v>
      </x:c>
      <x:c r="B9" s="10" t="str">
        <x:v>Actualizar estado cuando exista avance real; no esperar al cierre de junta.</x:v>
      </x:c>
      <x:c r="C9" s="10" t="str">
        <x:v>Durante operacion</x:v>
      </x:c>
      <x:c r="D9" s="10" t="str">
        <x:v>Responsable</x:v>
      </x:c>
      <x:c r="E9" s="10" t="str">
        <x:v>Estado actualizado</x:v>
      </x:c>
      <x:c r="F9" s="10" t="str">
        <x:v>Tablero confiable</x:v>
      </x:c>
    </x:row>
    <x:row r="10">
      <x:c r="A10" s="10" t="str">
        <x:v>Comentarios / evidencia</x:v>
      </x:c>
      <x:c r="B10" s="10" t="str">
        <x:v>Registrar informacion suficiente para que otra persona entienda el avance.</x:v>
      </x:c>
      <x:c r="C10" s="10" t="str">
        <x:v>Cuando haya avance o bloqueo</x:v>
      </x:c>
      <x:c r="D10" s="10" t="str">
        <x:v>Responsable</x:v>
      </x:c>
      <x:c r="E10" s="10" t="str">
        <x:v>Comentario/evidencia</x:v>
      </x:c>
      <x:c r="F10" s="10" t="str">
        <x:v>Menos seguimiento manual</x:v>
      </x:c>
    </x:row>
    <x:row r="11">
      <x:c r="A11" s="10" t="str">
        <x:v>Mejoras futuras</x:v>
      </x:c>
      <x:c r="B11" s="10" t="str">
        <x:v>Todo hallazgo no bloqueante del UAT entra a backlog de mejoras, no detiene salida.</x:v>
      </x:c>
      <x:c r="C11" s="10" t="str">
        <x:v>Durante UAT</x:v>
      </x:c>
      <x:c r="D11" s="10" t="str">
        <x:v>Scrum Master</x:v>
      </x:c>
      <x:c r="E11" s="10" t="str">
        <x:v>Observacion clasificada</x:v>
      </x:c>
      <x:c r="F11" s="10" t="str">
        <x:v>Backlog priorizado</x:v>
      </x:c>
    </x:row>
  </x:sheetData>
  <x:pageMargins left="0.7" right="0.7" top="0.75" bottom="0.75" header="0.3" footer="0.3"/>
</x:worksheet>
</file>