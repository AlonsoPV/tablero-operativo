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pev\OneDrive\tablero-operativo\outputs\uat_analistas\"/>
    </mc:Choice>
  </mc:AlternateContent>
  <xr:revisionPtr revIDLastSave="0" documentId="13_ncr:1_{86C8E70D-58CA-4732-9A95-19EABE7911FA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Resumen" sheetId="1" r:id="rId1"/>
    <sheet name="Flujo y responsables" sheetId="2" state="hidden" r:id="rId2"/>
    <sheet name="Plan" sheetId="3" r:id="rId3"/>
    <sheet name="Plan por modulo" sheetId="4" r:id="rId4"/>
    <sheet name="UAT" sheetId="5" r:id="rId5"/>
    <sheet name="Sesiones" sheetId="6" r:id="rId6"/>
    <sheet name="Criterios por modulo" sheetId="7" r:id="rId7"/>
    <sheet name="Riesgos" sheetId="8" state="hidden" r:id="rId8"/>
    <sheet name="Reporte bug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7" l="1"/>
  <c r="G8" i="7"/>
  <c r="F8" i="7"/>
  <c r="D8" i="7"/>
  <c r="E8" i="7" s="1"/>
  <c r="J8" i="7" s="1"/>
  <c r="H7" i="7"/>
  <c r="G7" i="7"/>
  <c r="F7" i="7"/>
  <c r="D7" i="7"/>
  <c r="E7" i="7" s="1"/>
  <c r="J7" i="7" s="1"/>
  <c r="H6" i="7"/>
  <c r="G6" i="7"/>
  <c r="F6" i="7"/>
  <c r="D6" i="7"/>
  <c r="E6" i="7" s="1"/>
  <c r="J6" i="7" s="1"/>
  <c r="H5" i="7"/>
  <c r="G5" i="7"/>
  <c r="F5" i="7"/>
  <c r="D5" i="7"/>
  <c r="E5" i="7" s="1"/>
  <c r="J5" i="7" s="1"/>
  <c r="H4" i="7"/>
  <c r="G4" i="7"/>
  <c r="F4" i="7"/>
  <c r="D4" i="7"/>
  <c r="E4" i="7" s="1"/>
  <c r="J4" i="7" s="1"/>
  <c r="H3" i="7"/>
  <c r="G3" i="7"/>
  <c r="F3" i="7"/>
  <c r="D3" i="7"/>
  <c r="E3" i="7" s="1"/>
  <c r="J3" i="7" s="1"/>
  <c r="H2" i="7"/>
  <c r="G2" i="7"/>
  <c r="F2" i="7"/>
  <c r="D2" i="7"/>
  <c r="E2" i="7" s="1"/>
  <c r="J2" i="7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</calcChain>
</file>

<file path=xl/sharedStrings.xml><?xml version="1.0" encoding="utf-8"?>
<sst xmlns="http://schemas.openxmlformats.org/spreadsheetml/2006/main" count="1314" uniqueCount="696">
  <si>
    <t>Plan de Implementacion y UAT - Analista - Pantallas especificas</t>
  </si>
  <si>
    <t>Rol ejecutor</t>
  </si>
  <si>
    <t>Analista de operaciones con acceso estandar; sin super_admin, sin configuracion y sin modulos de admin.</t>
  </si>
  <si>
    <t>Indicador</t>
  </si>
  <si>
    <t>Meta</t>
  </si>
  <si>
    <t>Actual</t>
  </si>
  <si>
    <t>Semaforo</t>
  </si>
  <si>
    <t>Comentario</t>
  </si>
  <si>
    <t>Criterio global</t>
  </si>
  <si>
    <t>Cada caso pasa si el analista completa la tarea sin ayuda externa, sin errores visibles y en el tiempo esperado.</t>
  </si>
  <si>
    <t>UAT total aprobado</t>
  </si>
  <si>
    <t>&gt;= 95%</t>
  </si>
  <si>
    <t>Todos los casos funcionales y borde.</t>
  </si>
  <si>
    <t>Falla automatica</t>
  </si>
  <si>
    <t>Spinner infinito, NaN, undefined, pantalla en blanco o toast de error no explicativo.</t>
  </si>
  <si>
    <t>Criticos fallidos</t>
  </si>
  <si>
    <t>0</t>
  </si>
  <si>
    <t>Cualquier critico fallido o bloqueado detiene salida.</t>
  </si>
  <si>
    <t>Alcance</t>
  </si>
  <si>
    <t>Dashboard, Kanban, Academia, Disciplina, Calendario, Notificaciones y Perfil.</t>
  </si>
  <si>
    <t>Bloqueados</t>
  </si>
  <si>
    <t>Casos sin poder ejecutarse.</t>
  </si>
  <si>
    <t>Fuera de alcance</t>
  </si>
  <si>
    <t>Configuracion, admin, cambios tecnicos y funcionalidades no visibles para Analista.</t>
  </si>
  <si>
    <t>Defectos abiertos</t>
  </si>
  <si>
    <t>Riesgos o defectos activos.</t>
  </si>
  <si>
    <t>Responsable del archivo</t>
  </si>
  <si>
    <t>Scrum Master / Project Manager.</t>
  </si>
  <si>
    <t>UAT Dashboard aprobado</t>
  </si>
  <si>
    <t>Cobertura Dashboard.</t>
  </si>
  <si>
    <t>Version</t>
  </si>
  <si>
    <t>UAT v1 pantallas especificas</t>
  </si>
  <si>
    <t>UAT Kanban aprobado</t>
  </si>
  <si>
    <t>Cobertura Kanban.</t>
  </si>
  <si>
    <t>Fecha</t>
  </si>
  <si>
    <t>UAT Academia aprobado</t>
  </si>
  <si>
    <t>Cobertura Academia.</t>
  </si>
  <si>
    <t>UAT Disciplina aprobado</t>
  </si>
  <si>
    <t>Cobertura Disciplina.</t>
  </si>
  <si>
    <t>UAT Calendario aprobado</t>
  </si>
  <si>
    <t>Cobertura Calendario.</t>
  </si>
  <si>
    <t>UAT Notificaciones aprobado</t>
  </si>
  <si>
    <t>Cobertura Notificaciones.</t>
  </si>
  <si>
    <t>UAT Perfil aprobado</t>
  </si>
  <si>
    <t>Cobertura Perfil.</t>
  </si>
  <si>
    <t>Decision Go/No-Go</t>
  </si>
  <si>
    <t>Go si cumple criterios</t>
  </si>
  <si>
    <t>Actualizar al cierre.</t>
  </si>
  <si>
    <t>Orden de uso, responsables y decisiones</t>
  </si>
  <si>
    <t>Orden</t>
  </si>
  <si>
    <t>Pestana</t>
  </si>
  <si>
    <t>Quien la usa</t>
  </si>
  <si>
    <t>Quien la actualiza</t>
  </si>
  <si>
    <t>Que hace</t>
  </si>
  <si>
    <t>Salida esperada</t>
  </si>
  <si>
    <t>Decision</t>
  </si>
  <si>
    <t>Resumen</t>
  </si>
  <si>
    <t>Direccion, Owner, Scrum Master</t>
  </si>
  <si>
    <t>Scrum Master</t>
  </si>
  <si>
    <t>Leer avance, semaforos y bloqueadores.</t>
  </si>
  <si>
    <t>Estado ejecutivo confiable.</t>
  </si>
  <si>
    <t>Continuar, escalar o detener salida.</t>
  </si>
  <si>
    <t>Flujo y responsables</t>
  </si>
  <si>
    <t>Todos</t>
  </si>
  <si>
    <t>Aclarar quien hace que y en que orden.</t>
  </si>
  <si>
    <t>Reglas de trabajo claras.</t>
  </si>
  <si>
    <t>Evitar duplicidad y confusion.</t>
  </si>
  <si>
    <t>Plan</t>
  </si>
  <si>
    <t>Administrar preparacion, capacitacion, ejecucion y cierre.</t>
  </si>
  <si>
    <t>Plan con estado por actividad.</t>
  </si>
  <si>
    <t>Saber si UAT puede iniciar.</t>
  </si>
  <si>
    <t>Plan por modulo</t>
  </si>
  <si>
    <t>Scrum Master, lider funcional</t>
  </si>
  <si>
    <t>Preparar cada modulo antes de probarlo.</t>
  </si>
  <si>
    <t>Modulo listo para UAT.</t>
  </si>
  <si>
    <t>Abrir pruebas del modulo.</t>
  </si>
  <si>
    <t>Sesiones</t>
  </si>
  <si>
    <t>Scrum Master, Analistas</t>
  </si>
  <si>
    <t>Ejecutar agenda de pruebas guiadas.</t>
  </si>
  <si>
    <t>Asistencia y evidencia.</t>
  </si>
  <si>
    <t>Pasar a reprueba o cierre.</t>
  </si>
  <si>
    <t>UAT</t>
  </si>
  <si>
    <t>Analistas piloto</t>
  </si>
  <si>
    <t>Analistas registran; Scrum Master consolida</t>
  </si>
  <si>
    <t>Ejecutar casos, marcar resultado y observaciones.</t>
  </si>
  <si>
    <t>Evidencia por caso.</t>
  </si>
  <si>
    <t>Aceptar o rechazar cada caso.</t>
  </si>
  <si>
    <t>Riesgos</t>
  </si>
  <si>
    <t>Scrum Master, equipo tecnico</t>
  </si>
  <si>
    <t>Convertir fallas relevantes en bloqueadores o riesgos.</t>
  </si>
  <si>
    <t>Defectos priorizados.</t>
  </si>
  <si>
    <t>Escalar y corregir.</t>
  </si>
  <si>
    <t>Criterios por modulo</t>
  </si>
  <si>
    <t>Evaluar criticos, fallos medios y bloqueadores por modulo.</t>
  </si>
  <si>
    <t>Go/No-Go por modulo.</t>
  </si>
  <si>
    <t>Liberar modulo o regresarlo a ajustes.</t>
  </si>
  <si>
    <t>Reporte bug</t>
  </si>
  <si>
    <t>Analistas, Scrum Master</t>
  </si>
  <si>
    <t>Quien reporte bug</t>
  </si>
  <si>
    <t>Documentar defectos de forma reproducible.</t>
  </si>
  <si>
    <t>Bug accionable.</t>
  </si>
  <si>
    <t>Corregir sin retrabajo.</t>
  </si>
  <si>
    <t>ID</t>
  </si>
  <si>
    <t>Fase</t>
  </si>
  <si>
    <t>Semana</t>
  </si>
  <si>
    <t>Actividad</t>
  </si>
  <si>
    <t>Objetivo</t>
  </si>
  <si>
    <t>Responsable</t>
  </si>
  <si>
    <t>Participa</t>
  </si>
  <si>
    <t>Estado</t>
  </si>
  <si>
    <t>Criterio de cierre</t>
  </si>
  <si>
    <t>P01</t>
  </si>
  <si>
    <t>Preparacion</t>
  </si>
  <si>
    <t>Semana 1</t>
  </si>
  <si>
    <t>Confirmar usuarios Analista</t>
  </si>
  <si>
    <t>Validar que todos sean no super_admin.</t>
  </si>
  <si>
    <t>Owner</t>
  </si>
  <si>
    <t>Pendiente</t>
  </si>
  <si>
    <t>Lista cerrada de usuarios piloto.</t>
  </si>
  <si>
    <t>P02</t>
  </si>
  <si>
    <t>Confirmar alcance por pantalla</t>
  </si>
  <si>
    <t>Evitar probar funcionalidades fuera de alcance.</t>
  </si>
  <si>
    <t>Lider funcional</t>
  </si>
  <si>
    <t>Pantallas y restricciones aceptadas.</t>
  </si>
  <si>
    <t>P03</t>
  </si>
  <si>
    <t>Preparar datos minimos</t>
  </si>
  <si>
    <t>Tener acciones, responsables, fechas y notificaciones de prueba.</t>
  </si>
  <si>
    <t>Equipo tecnico</t>
  </si>
  <si>
    <t>Datos suficientes para casos UAT.</t>
  </si>
  <si>
    <t>P04</t>
  </si>
  <si>
    <t>Capacitacion</t>
  </si>
  <si>
    <t>Explicar reglas de UAT</t>
  </si>
  <si>
    <t>Alinear criterio global, tiempos y evidencia.</t>
  </si>
  <si>
    <t>Analistas</t>
  </si>
  <si>
    <t>Analistas saben como registrar resultados.</t>
  </si>
  <si>
    <t>P05</t>
  </si>
  <si>
    <t>Semana 2</t>
  </si>
  <si>
    <t>Ejecutar sesion Dashboard y Kanban basico</t>
  </si>
  <si>
    <t>Validar entrada operativa y flujo de acciones.</t>
  </si>
  <si>
    <t>Casos de sesion 1 ejecutados.</t>
  </si>
  <si>
    <t>P06</t>
  </si>
  <si>
    <t>Ejecutar sesion Kanban avanzado</t>
  </si>
  <si>
    <t>Validar vistas, filtros, estados y comportamiento de tarjetas.</t>
  </si>
  <si>
    <t>Casos de sesion 2 ejecutados.</t>
  </si>
  <si>
    <t>P07</t>
  </si>
  <si>
    <t>Ejecutar Academia, Disciplina y Perfil</t>
  </si>
  <si>
    <t>Validar experiencia personal del analista.</t>
  </si>
  <si>
    <t>Casos de sesion 3 ejecutados.</t>
  </si>
  <si>
    <t>P08</t>
  </si>
  <si>
    <t>Ejecutar Calendario y Notificaciones</t>
  </si>
  <si>
    <t>Validar seguimiento temporal y avisos.</t>
  </si>
  <si>
    <t>Casos de sesion 4 ejecutados.</t>
  </si>
  <si>
    <t>P09</t>
  </si>
  <si>
    <t>Ejecutar casos borde</t>
  </si>
  <si>
    <t>Confirmar empty states, errores claros y datos sin NaN.</t>
  </si>
  <si>
    <t>Casos borde ejecutados.</t>
  </si>
  <si>
    <t>P10</t>
  </si>
  <si>
    <t>Cierre</t>
  </si>
  <si>
    <t>Semana 3</t>
  </si>
  <si>
    <t>Clasificar bugs</t>
  </si>
  <si>
    <t>Separar criticos, altos, medios, bajos y no aplica.</t>
  </si>
  <si>
    <t>Backlog UAT priorizado.</t>
  </si>
  <si>
    <t>P11</t>
  </si>
  <si>
    <t>Reprueba dirigida</t>
  </si>
  <si>
    <t>Confirmar correcciones sin romper flujos base.</t>
  </si>
  <si>
    <t>Casos fallidos reaprobados o aceptados con observacion.</t>
  </si>
  <si>
    <t>P12</t>
  </si>
  <si>
    <t>Salida</t>
  </si>
  <si>
    <t>Tomar decision por modulo y global.</t>
  </si>
  <si>
    <t>Decision documentada.</t>
  </si>
  <si>
    <t>Modulo</t>
  </si>
  <si>
    <t>Actividad previa</t>
  </si>
  <si>
    <t>Notas</t>
  </si>
  <si>
    <t>PM-DASH-01</t>
  </si>
  <si>
    <t>Dashboard</t>
  </si>
  <si>
    <t>Validar acceso y datos</t>
  </si>
  <si>
    <t>Confirmar carga inicial, score, KPI, filtros y acciones.</t>
  </si>
  <si>
    <t>Dashboard listo para UAT sin elementos restringidos.</t>
  </si>
  <si>
    <t>PM-KAN-01</t>
  </si>
  <si>
    <t>Kanban</t>
  </si>
  <si>
    <t>Validar flujo RUN</t>
  </si>
  <si>
    <t>Confirmar columnas, cambio de estado, edicion, filtros y vistas.</t>
  </si>
  <si>
    <t>Kanban listo para ejecutar casos funcionales.</t>
  </si>
  <si>
    <t>PM-ACA-01</t>
  </si>
  <si>
    <t>Academia</t>
  </si>
  <si>
    <t>Validar contenido y navegacion</t>
  </si>
  <si>
    <t>Confirmar que contenido estatico/interactivo carga sin romperse.</t>
  </si>
  <si>
    <t>Academia lista para UAT de lectura y avance.</t>
  </si>
  <si>
    <t>PM-DIS-01</t>
  </si>
  <si>
    <t>Disciplina</t>
  </si>
  <si>
    <t>Validar home operativo personal</t>
  </si>
  <si>
    <t>Confirmar acciones del dia, categorias personales, links e indicadores.</t>
  </si>
  <si>
    <t>Disciplina lista para UAT diario.</t>
  </si>
  <si>
    <t>PM-CAL-01</t>
  </si>
  <si>
    <t>Calendario</t>
  </si>
  <si>
    <t>Validar vista mensual</t>
  </si>
  <si>
    <t>Confirmar acciones por fecha, navegacion, detalle y edicion.</t>
  </si>
  <si>
    <t>Calendario listo para UAT.</t>
  </si>
  <si>
    <t>PM-NOT-01</t>
  </si>
  <si>
    <t>Notificaciones</t>
  </si>
  <si>
    <t>Preparar eventos de prueba</t>
  </si>
  <si>
    <t>Tener asignaciones y comentarios que generen notificaciones.</t>
  </si>
  <si>
    <t>Notificaciones listas para UAT.</t>
  </si>
  <si>
    <t>Tiempo real requiere dos sesiones.</t>
  </si>
  <si>
    <t>PM-PRF-01</t>
  </si>
  <si>
    <t>Perfil</t>
  </si>
  <si>
    <t>Validar acceso personal</t>
  </si>
  <si>
    <t>Confirmar datos del usuario, edicion permitida y cierre de sesion.</t>
  </si>
  <si>
    <t>Perfil listo para UAT.</t>
  </si>
  <si>
    <t>ID Caso</t>
  </si>
  <si>
    <t>Tipo</t>
  </si>
  <si>
    <t>Caso</t>
  </si>
  <si>
    <t>Precondicion</t>
  </si>
  <si>
    <t>Pasos</t>
  </si>
  <si>
    <t>Resultado esperado</t>
  </si>
  <si>
    <t>Tiempo max</t>
  </si>
  <si>
    <t>Resultado</t>
  </si>
  <si>
    <t>Evidencia / URL</t>
  </si>
  <si>
    <t>Severidad</t>
  </si>
  <si>
    <t>Observacion</t>
  </si>
  <si>
    <t>UAT-DASH-01</t>
  </si>
  <si>
    <t>Funcional</t>
  </si>
  <si>
    <t>Carga inicial sin spinner infinito</t>
  </si>
  <si>
    <t>Analista autenticado.</t>
  </si>
  <si>
    <t>Navegar a /dashboard.</t>
  </si>
  <si>
    <t>Todos los bloques renderizan en menos de 3s.</t>
  </si>
  <si>
    <t>3s</t>
  </si>
  <si>
    <t>Analista piloto</t>
  </si>
  <si>
    <t>Critica</t>
  </si>
  <si>
    <t>UAT-DASH-02</t>
  </si>
  <si>
    <t>Score global visible con porcentaje</t>
  </si>
  <si>
    <t>Dashboard abierto.</t>
  </si>
  <si>
    <t>Abrir dashboard y revisar score global.</t>
  </si>
  <si>
    <t>Numero y simbolo % visibles; no aparece NaN.</t>
  </si>
  <si>
    <t>-</t>
  </si>
  <si>
    <t>UAT-DASH-03</t>
  </si>
  <si>
    <t>Semaforo KPI carga datos reales</t>
  </si>
  <si>
    <t>Dashboard abierto con datos.</t>
  </si>
  <si>
    <t>Esperar carga y revisar cards KPI.</t>
  </si>
  <si>
    <t>Cards con nombre, porcentaje y barra de color.</t>
  </si>
  <si>
    <t>Alta</t>
  </si>
  <si>
    <t>UAT-DASH-04</t>
  </si>
  <si>
    <t>Filtro de fecha cambia acciones</t>
  </si>
  <si>
    <t>Existen acciones en distintas fechas.</t>
  </si>
  <si>
    <t>Cambiar fecha en toolbar.</t>
  </si>
  <si>
    <t>Lista de acciones se actualiza en menos de 2s.</t>
  </si>
  <si>
    <t>2s</t>
  </si>
  <si>
    <t>UAT-DASH-05</t>
  </si>
  <si>
    <t>Limpiar filtros vuelve a hoy</t>
  </si>
  <si>
    <t>Filtro aplicado.</t>
  </si>
  <si>
    <t>Clic en Limpiar filtros.</t>
  </si>
  <si>
    <t>Fecha vuelve a hoy y acciones del dia.</t>
  </si>
  <si>
    <t>1s</t>
  </si>
  <si>
    <t>UAT-DASH-06</t>
  </si>
  <si>
    <t>Cadena operativa con datos</t>
  </si>
  <si>
    <t>Dashboard con datos vinculados.</t>
  </si>
  <si>
    <t>Ver seccion de cadena causa-efecto.</t>
  </si>
  <si>
    <t>Cards con valores numericos; sin guiones por error ni NaN.</t>
  </si>
  <si>
    <t>UAT-DASH-07</t>
  </si>
  <si>
    <t>Top impacto solo pendientes</t>
  </si>
  <si>
    <t>Existen acciones abiertas y cerradas.</t>
  </si>
  <si>
    <t>Ver seccion Mayor impacto pendiente.</t>
  </si>
  <si>
    <t>Solo aparecen acciones no finalizadas.</t>
  </si>
  <si>
    <t>Media</t>
  </si>
  <si>
    <t>UAT-DASH-08</t>
  </si>
  <si>
    <t>Pulso operativo calcula bien</t>
  </si>
  <si>
    <t>Acciones con estados distintos.</t>
  </si>
  <si>
    <t>Ver tarjetas de eficiencia.</t>
  </si>
  <si>
    <t>Total, completadas y bloqueadas son coherentes.</t>
  </si>
  <si>
    <t>UAT-DASH-09</t>
  </si>
  <si>
    <t>Crear accion desde dashboard</t>
  </si>
  <si>
    <t>Clic en Nueva accion.</t>
  </si>
  <si>
    <t>Dialog abre en modo creacion en menos de 500ms.</t>
  </si>
  <si>
    <t>500ms</t>
  </si>
  <si>
    <t>UAT-DASH-10</t>
  </si>
  <si>
    <t>Permisos</t>
  </si>
  <si>
    <t>Matriz de impacto restringida para Analista</t>
  </si>
  <si>
    <t>Sesion de Analista.</t>
  </si>
  <si>
    <t>Buscar enlace o boton Matriz de impacto en dashboard.</t>
  </si>
  <si>
    <t>No aparece enlace restringido; si aparece, se registra falla de permisos.</t>
  </si>
  <si>
    <t>UAT-DASH-E01</t>
  </si>
  <si>
    <t>Borde</t>
  </si>
  <si>
    <t>Sin acciones para la fecha</t>
  </si>
  <si>
    <t>Fecha sin acciones.</t>
  </si>
  <si>
    <t>Seleccionar fecha sin acciones.</t>
  </si>
  <si>
    <t>Empty state con mensaje claro; no tabla vacia.</t>
  </si>
  <si>
    <t>UAT-DASH-E02</t>
  </si>
  <si>
    <t>Sin datos activos</t>
  </si>
  <si>
    <t>No hay datos vinculados para cadena.</t>
  </si>
  <si>
    <t>Abrir dashboard con datos minimos.</t>
  </si>
  <si>
    <t>Muestra 0% o empty state; no NaN.</t>
  </si>
  <si>
    <t>UAT-DASH-E03</t>
  </si>
  <si>
    <t>Sin conexion</t>
  </si>
  <si>
    <t>Simular error de red o servicio.</t>
  </si>
  <si>
    <t>Abrir dashboard o reintentar carga.</t>
  </si>
  <si>
    <t>Mensaje claro de error y boton reintentar.</t>
  </si>
  <si>
    <t>UAT-KAN-01</t>
  </si>
  <si>
    <t>Columnas en orden correcto</t>
  </si>
  <si>
    <t>Abrir /kanban.</t>
  </si>
  <si>
    <t>Columnas Pendiente, Hoy, En ejecucion, Bloqueado, Retraso, Hecho, Verificado.</t>
  </si>
  <si>
    <t>UAT-KAN-02</t>
  </si>
  <si>
    <t>Skeleton durante carga</t>
  </si>
  <si>
    <t>Sesion lenta o recarga inicial.</t>
  </si>
  <si>
    <t>Navegar a /kanban.</t>
  </si>
  <si>
    <t>Columnas skeleton visibles antes de datos.</t>
  </si>
  <si>
    <t>100ms</t>
  </si>
  <si>
    <t>UAT-KAN-03</t>
  </si>
  <si>
    <t>Arrastrar card cambia estado</t>
  </si>
  <si>
    <t>Accion en Pendiente.</t>
  </si>
  <si>
    <t>Arrastrar card de Pendiente a Hoy.</t>
  </si>
  <si>
    <t>Card aparece en Hoy y desaparece de Pendiente.</t>
  </si>
  <si>
    <t>UAT-KAN-04</t>
  </si>
  <si>
    <t>Toast al mover estado</t>
  </si>
  <si>
    <t>Movimiento valido.</t>
  </si>
  <si>
    <t>Arrastrar una card a otro estado permitido.</t>
  </si>
  <si>
    <t>Toast de Estado actualizado aparece.</t>
  </si>
  <si>
    <t>UAT-KAN-05</t>
  </si>
  <si>
    <t>Columna restringida rechaza drop</t>
  </si>
  <si>
    <t>Analista sin permiso de verificacion.</t>
  </si>
  <si>
    <t>Arrastrar card a Verificado.</t>
  </si>
  <si>
    <t>Se rechaza movimiento con feedback visual y toast de denegacion.</t>
  </si>
  <si>
    <t>UAT-KAN-06</t>
  </si>
  <si>
    <t>Mover estado por dropdown</t>
  </si>
  <si>
    <t>Card visible.</t>
  </si>
  <si>
    <t>Clic en menu de card y elegir estado permitido.</t>
  </si>
  <si>
    <t>Estado cambia igual que por drag.</t>
  </si>
  <si>
    <t>UAT-KAN-07</t>
  </si>
  <si>
    <t>Editar card abre dialog</t>
  </si>
  <si>
    <t>Clic en editar card.</t>
  </si>
  <si>
    <t>Dialog abre con datos precargados.</t>
  </si>
  <si>
    <t>UAT-KAN-08</t>
  </si>
  <si>
    <t>Filtro de estado muestra columna esperada</t>
  </si>
  <si>
    <t>Existen acciones bloqueadas.</t>
  </si>
  <si>
    <t>Filtrar por Bloqueado.</t>
  </si>
  <si>
    <t>Solo columna o lista de Bloqueado visible segun vista.</t>
  </si>
  <si>
    <t>UAT-KAN-09</t>
  </si>
  <si>
    <t>Ver mas y Ver menos</t>
  </si>
  <si>
    <t>Columna con mas de 3 cards.</t>
  </si>
  <si>
    <t>Usar Ver mas y despues Ver menos.</t>
  </si>
  <si>
    <t>Expande y colapsa correctamente.</t>
  </si>
  <si>
    <t>UAT-KAN-10</t>
  </si>
  <si>
    <t>Scroll horizontal con flechas</t>
  </si>
  <si>
    <t>Pantalla con columnas fuera de vista.</t>
  </si>
  <si>
    <t>Click en flechas izquierda/derecha.</t>
  </si>
  <si>
    <t>Desplaza columnas suavemente.</t>
  </si>
  <si>
    <t>UAT-KAN-11</t>
  </si>
  <si>
    <t>Vista lista mismas acciones</t>
  </si>
  <si>
    <t>Kanban con acciones visibles.</t>
  </si>
  <si>
    <t>Cambiar a vista lista.</t>
  </si>
  <si>
    <t>Mismo conteo que vista kanban con mismos filtros.</t>
  </si>
  <si>
    <t>UAT-KAN-E01</t>
  </si>
  <si>
    <t>Sin acciones para el filtro</t>
  </si>
  <si>
    <t>Filtro sin coincidencias.</t>
  </si>
  <si>
    <t>Aplicar filtro sin resultados.</t>
  </si>
  <si>
    <t>Empty state por columna o vista con icono y texto.</t>
  </si>
  <si>
    <t>UAT-KAN-E02</t>
  </si>
  <si>
    <t>Card con 0 story points</t>
  </si>
  <si>
    <t>Accion con 0 puntos.</t>
  </si>
  <si>
    <t>Ver card en tablero/lista.</t>
  </si>
  <si>
    <t>Badge de puntos no aparece o muestra guion controlado.</t>
  </si>
  <si>
    <t>Baja</t>
  </si>
  <si>
    <t>UAT-KAN-E03</t>
  </si>
  <si>
    <t>Mobile touch scroll</t>
  </si>
  <si>
    <t>Viewport mobile.</t>
  </si>
  <si>
    <t>Desplazar horizontal y verticalmente.</t>
  </si>
  <si>
    <t>Scroll horizontal no interfiere con scroll vertical.</t>
  </si>
  <si>
    <t>UAT-ACA-01</t>
  </si>
  <si>
    <t>Carga sin error</t>
  </si>
  <si>
    <t>Navegar a /academia.</t>
  </si>
  <si>
    <t>Pagina carga con contenido visible.</t>
  </si>
  <si>
    <t>UAT-ACA-02</t>
  </si>
  <si>
    <t>Navegacion entre secciones</t>
  </si>
  <si>
    <t>Academia abierta.</t>
  </si>
  <si>
    <t>Clic en cada seccion del menu.</t>
  </si>
  <si>
    <t>Contenido cambia sin recargar pagina.</t>
  </si>
  <si>
    <t>UAT-ACA-03</t>
  </si>
  <si>
    <t>Glosario busca termino</t>
  </si>
  <si>
    <t>Glosario disponible.</t>
  </si>
  <si>
    <t>Escribir termino en buscador.</t>
  </si>
  <si>
    <t>Resultado relevante aparece.</t>
  </si>
  <si>
    <t>UAT-ACA-04</t>
  </si>
  <si>
    <t>Glosario sin coincidencia</t>
  </si>
  <si>
    <t>Buscar texto sin coincidencia.</t>
  </si>
  <si>
    <t>Empty state claro; no pantalla rota.</t>
  </si>
  <si>
    <t>UAT-ACA-05</t>
  </si>
  <si>
    <t>Guia de ceremonias legible</t>
  </si>
  <si>
    <t>Abrir guia de ceremonias.</t>
  </si>
  <si>
    <t>Agenda y preguntas guia visibles.</t>
  </si>
  <si>
    <t>UAT-ACA-06</t>
  </si>
  <si>
    <t>Links a tablero funcionan</t>
  </si>
  <si>
    <t>Contenido con links internos.</t>
  </si>
  <si>
    <t>Clic en cualquier link interno visible.</t>
  </si>
  <si>
    <t>Navega a la seccion correcta sin error.</t>
  </si>
  <si>
    <t>UAT-ACA-07</t>
  </si>
  <si>
    <t>Contenido en mobile</t>
  </si>
  <si>
    <t>Viewport menor a 640px.</t>
  </si>
  <si>
    <t>Abrir /academia.</t>
  </si>
  <si>
    <t>Texto legible sin desborde horizontal.</t>
  </si>
  <si>
    <t>UAT-ACA-E01</t>
  </si>
  <si>
    <t>Sin datos historicos</t>
  </si>
  <si>
    <t>Usuario nuevo o sin historial.</t>
  </si>
  <si>
    <t>Abrir seccion con datos dependientes de uso.</t>
  </si>
  <si>
    <t>Muestra empty state claro si aplica.</t>
  </si>
  <si>
    <t>UAT-ACA-E02</t>
  </si>
  <si>
    <t>Primer uso del sistema</t>
  </si>
  <si>
    <t>Usuario sin datos previos.</t>
  </si>
  <si>
    <t>Abrir academia completa.</t>
  </si>
  <si>
    <t>Contenido estatico carga aunque no haya datos.</t>
  </si>
  <si>
    <t>UAT-DIS-01</t>
  </si>
  <si>
    <t>Carga sin spinner infinito</t>
  </si>
  <si>
    <t>Navegar a /disciplina.</t>
  </si>
  <si>
    <t>Contenido visible en menos de 3s.</t>
  </si>
  <si>
    <t>UAT-DIS-02</t>
  </si>
  <si>
    <t>Metricas personales coherentes</t>
  </si>
  <si>
    <t>Usuario con acciones reales.</t>
  </si>
  <si>
    <t>Ver tarjetas y metricas de disciplina.</t>
  </si>
  <si>
    <t>Numeros coherentes con acciones creadas, asignadas o etiquetadas.</t>
  </si>
  <si>
    <t>UAT-DIS-03</t>
  </si>
  <si>
    <t>Acciones del dia visibles</t>
  </si>
  <si>
    <t>Existen acciones del dia.</t>
  </si>
  <si>
    <t>Revisar Acciones del dia.</t>
  </si>
  <si>
    <t>Muestra total, en curso, cerradas y riesgo sin NaN.</t>
  </si>
  <si>
    <t>UAT-DIS-04</t>
  </si>
  <si>
    <t>Categorias personales claras</t>
  </si>
  <si>
    <t>Acciones creadas/asignadas/etiquetadas.</t>
  </si>
  <si>
    <t>Revisar Creaste, Te asignaron y Te etiquetaron.</t>
  </si>
  <si>
    <t>Cada accion aparece en la categoria correcta.</t>
  </si>
  <si>
    <t>UAT-DIS-05</t>
  </si>
  <si>
    <t>Abrir Kanban desde accion</t>
  </si>
  <si>
    <t>Accion visible en Disciplina.</t>
  </si>
  <si>
    <t>Clic en accion o acceso a Kanban.</t>
  </si>
  <si>
    <t>Navega a Kanban con contexto util.</t>
  </si>
  <si>
    <t>UAT-DIS-06</t>
  </si>
  <si>
    <t>Acceso a Academia desde Disciplina</t>
  </si>
  <si>
    <t>Academia disponible.</t>
  </si>
  <si>
    <t>Clic en Ver Academia o continuar formacion.</t>
  </si>
  <si>
    <t>Abre /academia sin error.</t>
  </si>
  <si>
    <t>UAT-DIS-07</t>
  </si>
  <si>
    <t>Calendario reciente visible</t>
  </si>
  <si>
    <t>Recordatorios o minutas existentes.</t>
  </si>
  <si>
    <t>Revisar bloque de calendario reciente.</t>
  </si>
  <si>
    <t>Muestra elementos y link a /calendario con contexto.</t>
  </si>
  <si>
    <t>UAT-DIS-E01</t>
  </si>
  <si>
    <t>Sin acciones en periodo</t>
  </si>
  <si>
    <t>Usuario sin acciones visibles.</t>
  </si>
  <si>
    <t>Abrir /disciplina.</t>
  </si>
  <si>
    <t>Empty state con mensaje; indicadores no crashean.</t>
  </si>
  <si>
    <t>UAT-DIS-E02</t>
  </si>
  <si>
    <t>Usuario sin acciones</t>
  </si>
  <si>
    <t>Responsable sin acciones.</t>
  </si>
  <si>
    <t>Abrir disciplina con usuario sin datos.</t>
  </si>
  <si>
    <t>Muestra guion o empty state; no NaN.</t>
  </si>
  <si>
    <t>UAT-CAL-01</t>
  </si>
  <si>
    <t>Navegar a /calendario.</t>
  </si>
  <si>
    <t>Vista de calendario visible.</t>
  </si>
  <si>
    <t>UAT-CAL-02</t>
  </si>
  <si>
    <t>Acciones aparecen en fecha correcta</t>
  </si>
  <si>
    <t>Acciones con fecha limite.</t>
  </si>
  <si>
    <t>Ver acciones del dia.</t>
  </si>
  <si>
    <t>Coincide con fecha de la accion.</t>
  </si>
  <si>
    <t>UAT-CAL-03</t>
  </si>
  <si>
    <t>Navegar mes anterior/siguiente</t>
  </si>
  <si>
    <t>Calendario abierto.</t>
  </si>
  <si>
    <t>Clic en flechas anterior/siguiente.</t>
  </si>
  <si>
    <t>Cambia mes y acciones correctas.</t>
  </si>
  <si>
    <t>UAT-CAL-04</t>
  </si>
  <si>
    <t>Clic en dia muestra acciones</t>
  </si>
  <si>
    <t>Dia con acciones.</t>
  </si>
  <si>
    <t>Clic en dia.</t>
  </si>
  <si>
    <t>Lista de acciones de ese dia.</t>
  </si>
  <si>
    <t>UAT-CAL-05</t>
  </si>
  <si>
    <t>Clic en accion abre dialog</t>
  </si>
  <si>
    <t>Accion visible en calendario.</t>
  </si>
  <si>
    <t>Clic en accion.</t>
  </si>
  <si>
    <t>Dialog de edicion con datos correctos.</t>
  </si>
  <si>
    <t>UAT-CAL-06</t>
  </si>
  <si>
    <t>Dia con muchas acciones</t>
  </si>
  <si>
    <t>Dia con 10 o mas acciones.</t>
  </si>
  <si>
    <t>Ver dia en calendario.</t>
  </si>
  <si>
    <t>No desborda el bloque del dia.</t>
  </si>
  <si>
    <t>UAT-CAL-07</t>
  </si>
  <si>
    <t>Hoy destacado visualmente</t>
  </si>
  <si>
    <t>Calendario en mes actual.</t>
  </si>
  <si>
    <t>Ver calendario.</t>
  </si>
  <si>
    <t>Dia actual con estilo diferenciado.</t>
  </si>
  <si>
    <t>UAT-CAL-08</t>
  </si>
  <si>
    <t>Acciones vencidas visibles</t>
  </si>
  <si>
    <t>Dias pasados con acciones abiertas.</t>
  </si>
  <si>
    <t>Ver dias pasados.</t>
  </si>
  <si>
    <t>Acciones no completadas marcadas como vencidas o en riesgo.</t>
  </si>
  <si>
    <t>UAT-CAL-E01</t>
  </si>
  <si>
    <t>Mes sin acciones</t>
  </si>
  <si>
    <t>Mes sin acciones visibles.</t>
  </si>
  <si>
    <t>Navegar a mes sin acciones.</t>
  </si>
  <si>
    <t>Calendario vacio sin error.</t>
  </si>
  <si>
    <t>UAT-CAL-E02</t>
  </si>
  <si>
    <t>Accion sin hora limite</t>
  </si>
  <si>
    <t>Accion con fecha sin hora.</t>
  </si>
  <si>
    <t>Ver accion en calendario.</t>
  </si>
  <si>
    <t>Aparece en el dia sin hora invalida.</t>
  </si>
  <si>
    <t>UAT-NOT-01</t>
  </si>
  <si>
    <t>Badge de conteo visible</t>
  </si>
  <si>
    <t>Usuario con notificaciones.</t>
  </si>
  <si>
    <t>Abrir app.</t>
  </si>
  <si>
    <t>Numero en icono de notificaciones.</t>
  </si>
  <si>
    <t>UAT-NOT-02</t>
  </si>
  <si>
    <t>Abrir panel de notificaciones</t>
  </si>
  <si>
    <t>Usuario autenticado.</t>
  </si>
  <si>
    <t>Clic en icono de notificaciones.</t>
  </si>
  <si>
    <t>Lista sin spinner infinito.</t>
  </si>
  <si>
    <t>UAT-NOT-03</t>
  </si>
  <si>
    <t>Notificacion de asignacion</t>
  </si>
  <si>
    <t>Accion asignada al usuario.</t>
  </si>
  <si>
    <t>Ser asignado como responsable.</t>
  </si>
  <si>
    <t>Notificacion aparece con accion vinculada.</t>
  </si>
  <si>
    <t>UAT-NOT-04</t>
  </si>
  <si>
    <t>Marcar como leida</t>
  </si>
  <si>
    <t>Notificacion no leida.</t>
  </si>
  <si>
    <t>Clic en notificacion.</t>
  </si>
  <si>
    <t>Badge disminuye y queda marcada.</t>
  </si>
  <si>
    <t>UAT-NOT-05</t>
  </si>
  <si>
    <t>Marcar todas como leidas</t>
  </si>
  <si>
    <t>Varias no leidas y boton visible.</t>
  </si>
  <si>
    <t>Clic en Marcar todas.</t>
  </si>
  <si>
    <t>Badge desaparece.</t>
  </si>
  <si>
    <t>UAT-NOT-06</t>
  </si>
  <si>
    <t>Click navega a accion</t>
  </si>
  <si>
    <t>Notificacion con accion vinculada.</t>
  </si>
  <si>
    <t>Abre accion correspondiente.</t>
  </si>
  <si>
    <t>UAT-NOT-07</t>
  </si>
  <si>
    <t>Sin notificaciones</t>
  </si>
  <si>
    <t>Usuario sin notificaciones.</t>
  </si>
  <si>
    <t>Abrir panel.</t>
  </si>
  <si>
    <t>Empty state con texto; no lista vacia.</t>
  </si>
  <si>
    <t>UAT-NOT-08</t>
  </si>
  <si>
    <t>Condicional</t>
  </si>
  <si>
    <t>Notificaciones en tiempo real</t>
  </si>
  <si>
    <t>Dos sesiones abiertas con usuarios distintos.</t>
  </si>
  <si>
    <t>Otra sesion asigna accion al analista.</t>
  </si>
  <si>
    <t>Badge actualiza sin recargar en menos de 5s.</t>
  </si>
  <si>
    <t>5s</t>
  </si>
  <si>
    <t>UAT-NOT-E01</t>
  </si>
  <si>
    <t>Accion eliminada y notificacion existe</t>
  </si>
  <si>
    <t>Notificacion vinculada a accion no disponible.</t>
  </si>
  <si>
    <t>Muestra mensaje de no encontrada o similar.</t>
  </si>
  <si>
    <t>UAT-NOT-E02</t>
  </si>
  <si>
    <t>50 o mas no leidas</t>
  </si>
  <si>
    <t>Usuario con muchas no leidas.</t>
  </si>
  <si>
    <t>Abrir header.</t>
  </si>
  <si>
    <t>Badge muestra 50+ o formato controlado.</t>
  </si>
  <si>
    <t>UAT-PRF-01</t>
  </si>
  <si>
    <t>Datos del perfil cargan</t>
  </si>
  <si>
    <t>Navegar a /settings/profile.</t>
  </si>
  <si>
    <t>Nombre, email y rol visibles.</t>
  </si>
  <si>
    <t>UAT-PRF-02</t>
  </si>
  <si>
    <t>Editar nombre</t>
  </si>
  <si>
    <t>Perfil abierto.</t>
  </si>
  <si>
    <t>Cambiar nombre y guardar.</t>
  </si>
  <si>
    <t>Nombre actualizado en header/nav.</t>
  </si>
  <si>
    <t>UAT-PRF-03</t>
  </si>
  <si>
    <t>Cambiar avatar si existe</t>
  </si>
  <si>
    <t>Control de avatar visible.</t>
  </si>
  <si>
    <t>Subir imagen.</t>
  </si>
  <si>
    <t>Avatar actualizado sin recargar.</t>
  </si>
  <si>
    <t>UAT-PRF-04</t>
  </si>
  <si>
    <t>Rol visible y no editable</t>
  </si>
  <si>
    <t>Ver campo rol.</t>
  </si>
  <si>
    <t>Rol visible y no editable para Analista.</t>
  </si>
  <si>
    <t>UAT-PRF-05</t>
  </si>
  <si>
    <t>Cerrar sesion desde perfil o menu</t>
  </si>
  <si>
    <t>Sesion activa.</t>
  </si>
  <si>
    <t>Clic en Cerrar sesion.</t>
  </si>
  <si>
    <t>Redirige a login y sesion queda limpia.</t>
  </si>
  <si>
    <t>UAT-PRF-06</t>
  </si>
  <si>
    <t>Cambiar contrasena si existe</t>
  </si>
  <si>
    <t>Flujo visible para usuario.</t>
  </si>
  <si>
    <t>Completar flujo de cambio de contrasena.</t>
  </si>
  <si>
    <t>Confirmacion exitosa y toast claro.</t>
  </si>
  <si>
    <t>UAT-PRF-07</t>
  </si>
  <si>
    <t>Preferencias o area guardadas</t>
  </si>
  <si>
    <t>Campo editable visible.</t>
  </si>
  <si>
    <t>Cambiar preferencia o area y guardar.</t>
  </si>
  <si>
    <t>Persiste al recargar pagina.</t>
  </si>
  <si>
    <t>UAT-PRF-E01</t>
  </si>
  <si>
    <t>Nombre con caracteres especiales</t>
  </si>
  <si>
    <t>Perfil editable.</t>
  </si>
  <si>
    <t>Guardar nombre con caracteres especiales.</t>
  </si>
  <si>
    <t>Se guarda y muestra correctamente.</t>
  </si>
  <si>
    <t>UAT-PRF-E02</t>
  </si>
  <si>
    <t>Cerrar sesion con dialog abierto</t>
  </si>
  <si>
    <t>Dialog de perfil abierto.</t>
  </si>
  <si>
    <t>Cerrar sesion desde menu si esta disponible.</t>
  </si>
  <si>
    <t>Dialog se cierra y sesion limpia sin error.</t>
  </si>
  <si>
    <t>Sesion</t>
  </si>
  <si>
    <t>Duracion</t>
  </si>
  <si>
    <t>Modulos</t>
  </si>
  <si>
    <t>Casos</t>
  </si>
  <si>
    <t>Ejecutor</t>
  </si>
  <si>
    <t>Facilitador</t>
  </si>
  <si>
    <t>Sesion 1</t>
  </si>
  <si>
    <t>90 min</t>
  </si>
  <si>
    <t>Dashboard + Kanban basico</t>
  </si>
  <si>
    <t>UAT-DASH-01 al 10; UAT-KAN-01 al 08</t>
  </si>
  <si>
    <t>Validar entrada operativa y flujo base de acciones.</t>
  </si>
  <si>
    <t>Sesion 2</t>
  </si>
  <si>
    <t>60 min</t>
  </si>
  <si>
    <t>Kanban avanzado</t>
  </si>
  <si>
    <t>UAT-KAN-09 al 11; casos borde Kanban</t>
  </si>
  <si>
    <t>Validar vistas, scroll, filtros y empty states.</t>
  </si>
  <si>
    <t>Sesion 3</t>
  </si>
  <si>
    <t>Academia + Disciplina + Perfil</t>
  </si>
  <si>
    <t>Todos los casos de estos modulos</t>
  </si>
  <si>
    <t>Validar experiencia personal del Analista.</t>
  </si>
  <si>
    <t>Sesion 4</t>
  </si>
  <si>
    <t>Calendario + Notificaciones</t>
  </si>
  <si>
    <t>Sesion 5</t>
  </si>
  <si>
    <t>30 min</t>
  </si>
  <si>
    <t>Casos borde</t>
  </si>
  <si>
    <t>Todos los UAT-XXX-E0N pendientes</t>
  </si>
  <si>
    <t>Confirmar empty states, errores y datos extremos.</t>
  </si>
  <si>
    <t>Criticos 0 fallos</t>
  </si>
  <si>
    <t>Aceptables</t>
  </si>
  <si>
    <t>Casos UAT</t>
  </si>
  <si>
    <t>% Aprobado</t>
  </si>
  <si>
    <t>Fallos medios</t>
  </si>
  <si>
    <t>Go/No-Go</t>
  </si>
  <si>
    <t>DASH-01, 02, 04, 09, 10</t>
  </si>
  <si>
    <t>DASH-03, 06, 07, 08</t>
  </si>
  <si>
    <t>No iniciado</t>
  </si>
  <si>
    <t>KAN-01, 03, 05, 07</t>
  </si>
  <si>
    <t>KAN-04, 06, 09, 11</t>
  </si>
  <si>
    <t>ACA-01, 02</t>
  </si>
  <si>
    <t>ACA-03, 04, 06</t>
  </si>
  <si>
    <t>DIS-01, 02</t>
  </si>
  <si>
    <t>DIS-03, 04, 06</t>
  </si>
  <si>
    <t>CAL-01, 04, 05</t>
  </si>
  <si>
    <t>CAL-02, 03, 07</t>
  </si>
  <si>
    <t>NOT-01, 02, 04, 06</t>
  </si>
  <si>
    <t>NOT-03, 05, 08</t>
  </si>
  <si>
    <t>PRF-01, 05</t>
  </si>
  <si>
    <t>PRF-02, 03, 06</t>
  </si>
  <si>
    <t>Riesgo / defecto</t>
  </si>
  <si>
    <t>Impacto</t>
  </si>
  <si>
    <t>Probabilidad</t>
  </si>
  <si>
    <t>Mitigacion</t>
  </si>
  <si>
    <t>Fecha objetivo</t>
  </si>
  <si>
    <t>R01</t>
  </si>
  <si>
    <t>Analista ve opciones restringidas o no ve pantallas incluidas.</t>
  </si>
  <si>
    <t>Ejecutar casos de permisos antes de UAT amplio.</t>
  </si>
  <si>
    <t>Abierto</t>
  </si>
  <si>
    <t>R02</t>
  </si>
  <si>
    <t>Datos</t>
  </si>
  <si>
    <t>No hay datos suficientes para probar fechas, estados o notificaciones.</t>
  </si>
  <si>
    <t>Preparar acciones y eventos minimos antes de sesiones.</t>
  </si>
  <si>
    <t>R03</t>
  </si>
  <si>
    <t>Calidad</t>
  </si>
  <si>
    <t>Aparecen NaN, undefined o pantalla en blanco.</t>
  </si>
  <si>
    <t>Bloquear salida hasta corregir y repruebar.</t>
  </si>
  <si>
    <t>R04</t>
  </si>
  <si>
    <t>Prueba</t>
  </si>
  <si>
    <t>Notificacion en tiempo real no se puede probar por falta de dos sesiones.</t>
  </si>
  <si>
    <t>Agendar dos navegadores o dos usuarios.</t>
  </si>
  <si>
    <t>R05</t>
  </si>
  <si>
    <t>Adopcion</t>
  </si>
  <si>
    <t>Analistas no registran evidencia o resultado en UAT.</t>
  </si>
  <si>
    <t>Ejecutar UAT guiado y revisar al cierre de cada sesion.</t>
  </si>
  <si>
    <t>Plantilla de reporte de bug</t>
  </si>
  <si>
    <t>Campo</t>
  </si>
  <si>
    <t>Descripcion</t>
  </si>
  <si>
    <t>Ejemplo</t>
  </si>
  <si>
    <t>Obligatorio</t>
  </si>
  <si>
    <t>Identificador unico</t>
  </si>
  <si>
    <t>UAT-BUG-001</t>
  </si>
  <si>
    <t>Si</t>
  </si>
  <si>
    <t>Consecutivo.</t>
  </si>
  <si>
    <t>Pantalla donde ocurre</t>
  </si>
  <si>
    <t>Dashboard / Kanban / Academia / Disciplina / Calendario / Notificaciones / Perfil</t>
  </si>
  <si>
    <t>Analista</t>
  </si>
  <si>
    <t>Caso relacionado</t>
  </si>
  <si>
    <t>ID de UAT</t>
  </si>
  <si>
    <t>Critico / Alto / Medio / Bajo</t>
  </si>
  <si>
    <t>Critico</t>
  </si>
  <si>
    <t>Critico bloquea salida.</t>
  </si>
  <si>
    <t>Pasos para reproducir</t>
  </si>
  <si>
    <t>Pasos numerados</t>
  </si>
  <si>
    <t>1) Abrir... 2) Clic...</t>
  </si>
  <si>
    <t>Debe ser reproducible.</t>
  </si>
  <si>
    <t>Resultado obtenido</t>
  </si>
  <si>
    <t>Que paso realmente</t>
  </si>
  <si>
    <t>Spinner infinito</t>
  </si>
  <si>
    <t>Que debia pasar</t>
  </si>
  <si>
    <t>Carga en menos de 3s</t>
  </si>
  <si>
    <t>Frecuencia</t>
  </si>
  <si>
    <t>Siempre / intermitente / una vez</t>
  </si>
  <si>
    <t>Siempre</t>
  </si>
  <si>
    <t>Product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</si>
</sst>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5"/>
      <color rgb="FFFFFFFF"/>
      <name val="Carlito"/>
    </font>
    <font>
      <b/>
      <sz val="11"/>
      <color rgb="FF17365D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9" fontId="0" fillId="0" borderId="0" xfId="0" applyNumberForma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lujoResponsables" displayName="FlujoResponsables" ref="A3:G12">
  <tableColumns count="7">
    <tableColumn id="1" xr3:uid="{00000000-0010-0000-0000-000001000000}" name="Orden"/>
    <tableColumn id="2" xr3:uid="{00000000-0010-0000-0000-000002000000}" name="Pestana"/>
    <tableColumn id="3" xr3:uid="{00000000-0010-0000-0000-000003000000}" name="Quien la usa"/>
    <tableColumn id="4" xr3:uid="{00000000-0010-0000-0000-000004000000}" name="Quien la actualiza"/>
    <tableColumn id="5" xr3:uid="{00000000-0010-0000-0000-000005000000}" name="Que hace"/>
    <tableColumn id="6" xr3:uid="{00000000-0010-0000-0000-000006000000}" name="Salida esperada"/>
    <tableColumn id="7" xr3:uid="{00000000-0010-0000-0000-000007000000}" name="Decis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lanImplementacion" displayName="PlanImplementacion" ref="A1:I13">
  <tableColumns count="9">
    <tableColumn id="1" xr3:uid="{00000000-0010-0000-0100-000001000000}" name="ID"/>
    <tableColumn id="2" xr3:uid="{00000000-0010-0000-0100-000002000000}" name="Fase"/>
    <tableColumn id="3" xr3:uid="{00000000-0010-0000-0100-000003000000}" name="Semana"/>
    <tableColumn id="4" xr3:uid="{00000000-0010-0000-0100-000004000000}" name="Actividad"/>
    <tableColumn id="5" xr3:uid="{00000000-0010-0000-0100-000005000000}" name="Objetivo"/>
    <tableColumn id="6" xr3:uid="{00000000-0010-0000-0100-000006000000}" name="Responsable"/>
    <tableColumn id="7" xr3:uid="{00000000-0010-0000-0100-000007000000}" name="Participa"/>
    <tableColumn id="8" xr3:uid="{00000000-0010-0000-0100-000008000000}" name="Estado"/>
    <tableColumn id="9" xr3:uid="{00000000-0010-0000-0100-000009000000}" name="Criterio de cier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lanPorModulo" displayName="PlanPorModulo" ref="A1:I8">
  <tableColumns count="9">
    <tableColumn id="1" xr3:uid="{00000000-0010-0000-0200-000001000000}" name="ID"/>
    <tableColumn id="2" xr3:uid="{00000000-0010-0000-0200-000002000000}" name="Modulo"/>
    <tableColumn id="3" xr3:uid="{00000000-0010-0000-0200-000003000000}" name="Actividad previa"/>
    <tableColumn id="4" xr3:uid="{00000000-0010-0000-0200-000004000000}" name="Objetivo"/>
    <tableColumn id="5" xr3:uid="{00000000-0010-0000-0200-000005000000}" name="Responsable"/>
    <tableColumn id="6" xr3:uid="{00000000-0010-0000-0200-000006000000}" name="Participa"/>
    <tableColumn id="7" xr3:uid="{00000000-0010-0000-0200-000007000000}" name="Estado"/>
    <tableColumn id="8" xr3:uid="{00000000-0010-0000-0200-000008000000}" name="Criterio de cierre"/>
    <tableColumn id="9" xr3:uid="{00000000-0010-0000-0200-000009000000}" name="Nota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atrizUAT" displayName="MatrizUAT" ref="A1:M75">
  <tableColumns count="13">
    <tableColumn id="1" xr3:uid="{00000000-0010-0000-0300-000001000000}" name="ID Caso"/>
    <tableColumn id="2" xr3:uid="{00000000-0010-0000-0300-000002000000}" name="Modulo"/>
    <tableColumn id="3" xr3:uid="{00000000-0010-0000-0300-000003000000}" name="Tipo"/>
    <tableColumn id="4" xr3:uid="{00000000-0010-0000-0300-000004000000}" name="Caso"/>
    <tableColumn id="5" xr3:uid="{00000000-0010-0000-0300-000005000000}" name="Precondicion"/>
    <tableColumn id="6" xr3:uid="{00000000-0010-0000-0300-000006000000}" name="Pasos"/>
    <tableColumn id="7" xr3:uid="{00000000-0010-0000-0300-000007000000}" name="Resultado esperado"/>
    <tableColumn id="8" xr3:uid="{00000000-0010-0000-0300-000008000000}" name="Tiempo max"/>
    <tableColumn id="9" xr3:uid="{00000000-0010-0000-0300-000009000000}" name="Responsable"/>
    <tableColumn id="10" xr3:uid="{00000000-0010-0000-0300-00000A000000}" name="Resultado"/>
    <tableColumn id="11" xr3:uid="{00000000-0010-0000-0300-00000B000000}" name="Evidencia / URL"/>
    <tableColumn id="12" xr3:uid="{00000000-0010-0000-0300-00000C000000}" name="Severidad"/>
    <tableColumn id="13" xr3:uid="{00000000-0010-0000-0300-00000D000000}" name="Observac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esionesUAT" displayName="SesionesUAT" ref="A1:H6">
  <tableColumns count="8">
    <tableColumn id="1" xr3:uid="{00000000-0010-0000-0400-000001000000}" name="Sesion"/>
    <tableColumn id="2" xr3:uid="{00000000-0010-0000-0400-000002000000}" name="Duracion"/>
    <tableColumn id="3" xr3:uid="{00000000-0010-0000-0400-000003000000}" name="Modulos"/>
    <tableColumn id="4" xr3:uid="{00000000-0010-0000-0400-000004000000}" name="Casos"/>
    <tableColumn id="5" xr3:uid="{00000000-0010-0000-0400-000005000000}" name="Objetivo"/>
    <tableColumn id="6" xr3:uid="{00000000-0010-0000-0400-000006000000}" name="Ejecutor"/>
    <tableColumn id="7" xr3:uid="{00000000-0010-0000-0400-000007000000}" name="Facilitador"/>
    <tableColumn id="8" xr3:uid="{00000000-0010-0000-0400-000008000000}" name="Estad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riteriosModulo" displayName="CriteriosModulo" ref="A1:J8">
  <tableColumns count="10">
    <tableColumn id="1" xr3:uid="{00000000-0010-0000-0500-000001000000}" name="Modulo"/>
    <tableColumn id="2" xr3:uid="{00000000-0010-0000-0500-000002000000}" name="Criticos 0 fallos"/>
    <tableColumn id="3" xr3:uid="{00000000-0010-0000-0500-000003000000}" name="Aceptables"/>
    <tableColumn id="4" xr3:uid="{00000000-0010-0000-0500-000004000000}" name="Casos UAT"/>
    <tableColumn id="5" xr3:uid="{00000000-0010-0000-0500-000005000000}" name="% Aprobado"/>
    <tableColumn id="6" xr3:uid="{00000000-0010-0000-0500-000006000000}" name="Criticos fallidos"/>
    <tableColumn id="7" xr3:uid="{00000000-0010-0000-0500-000007000000}" name="Fallos medios"/>
    <tableColumn id="8" xr3:uid="{00000000-0010-0000-0500-000008000000}" name="Bloqueados"/>
    <tableColumn id="9" xr3:uid="{00000000-0010-0000-0500-000009000000}" name="Estado"/>
    <tableColumn id="10" xr3:uid="{00000000-0010-0000-0500-00000A000000}" name="Go/No-G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iesgosUAT" displayName="RiesgosUAT" ref="A1:I6">
  <tableColumns count="9">
    <tableColumn id="1" xr3:uid="{00000000-0010-0000-0600-000001000000}" name="ID"/>
    <tableColumn id="2" xr3:uid="{00000000-0010-0000-0600-000002000000}" name="Tipo"/>
    <tableColumn id="3" xr3:uid="{00000000-0010-0000-0600-000003000000}" name="Riesgo / defecto"/>
    <tableColumn id="4" xr3:uid="{00000000-0010-0000-0600-000004000000}" name="Impacto"/>
    <tableColumn id="5" xr3:uid="{00000000-0010-0000-0600-000005000000}" name="Probabilidad"/>
    <tableColumn id="6" xr3:uid="{00000000-0010-0000-0600-000006000000}" name="Mitigacion"/>
    <tableColumn id="7" xr3:uid="{00000000-0010-0000-0600-000007000000}" name="Estado"/>
    <tableColumn id="8" xr3:uid="{00000000-0010-0000-0600-000008000000}" name="Responsable"/>
    <tableColumn id="9" xr3:uid="{00000000-0010-0000-0600-000009000000}" name="Fecha objetiv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ReporteBug" displayName="ReporteBug" ref="A3:F11">
  <tableColumns count="6">
    <tableColumn id="1" xr3:uid="{00000000-0010-0000-0700-000001000000}" name="Campo"/>
    <tableColumn id="2" xr3:uid="{00000000-0010-0000-0700-000002000000}" name="Descripcion"/>
    <tableColumn id="3" xr3:uid="{00000000-0010-0000-0700-000003000000}" name="Ejemplo"/>
    <tableColumn id="4" xr3:uid="{00000000-0010-0000-0700-000004000000}" name="Obligatorio"/>
    <tableColumn id="5" xr3:uid="{00000000-0010-0000-0700-000005000000}" name="Responsable"/>
    <tableColumn id="6" xr3:uid="{00000000-0010-0000-0700-000006000000}" name="No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showGridLines="0" workbookViewId="0"/>
  </sheetViews>
  <sheetFormatPr baseColWidth="10" defaultColWidth="8.796875" defaultRowHeight="13.8"/>
  <cols>
    <col min="1" max="1" width="20" customWidth="1"/>
    <col min="2" max="2" width="62.5" customWidth="1"/>
    <col min="4" max="4" width="23.69921875" customWidth="1"/>
    <col min="5" max="5" width="18.69921875" customWidth="1"/>
    <col min="6" max="6" width="15" customWidth="1"/>
    <col min="7" max="7" width="13.69921875" customWidth="1"/>
    <col min="8" max="8" width="40" customWidth="1"/>
  </cols>
  <sheetData>
    <row r="1" spans="1:8" ht="25.5" customHeight="1">
      <c r="A1" s="5" t="s">
        <v>0</v>
      </c>
      <c r="B1" s="5"/>
      <c r="C1" s="5"/>
      <c r="D1" s="5"/>
      <c r="E1" s="5"/>
      <c r="F1" s="5"/>
      <c r="G1" s="5"/>
      <c r="H1" s="5"/>
    </row>
    <row r="2" spans="1:8">
      <c r="A2" s="2"/>
      <c r="B2" s="2"/>
      <c r="C2" s="2"/>
      <c r="D2" s="2"/>
      <c r="E2" s="2"/>
      <c r="F2" s="2"/>
      <c r="G2" s="2"/>
      <c r="H2" s="2"/>
    </row>
    <row r="3" spans="1:8" ht="27.6">
      <c r="A3" s="1" t="s">
        <v>1</v>
      </c>
      <c r="B3" s="2" t="s">
        <v>2</v>
      </c>
      <c r="C3" s="2"/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</row>
    <row r="4" spans="1:8" ht="27.6">
      <c r="A4" s="1" t="s">
        <v>8</v>
      </c>
      <c r="B4" s="2" t="s">
        <v>9</v>
      </c>
      <c r="C4" s="2"/>
      <c r="D4" s="2" t="s">
        <v>10</v>
      </c>
      <c r="E4" s="2" t="s">
        <v>11</v>
      </c>
      <c r="F4" s="4">
        <f>IFERROR(COUNTIF(UAT!J2:J250,"Aprobado")/COUNTA(UAT!A2:A250),0)</f>
        <v>0</v>
      </c>
      <c r="G4" s="2" t="str">
        <f>IF(F4&gt;=0.95,"Verde",IF(F4&gt;=0.85,"Amarillo","Rojo"))</f>
        <v>Rojo</v>
      </c>
      <c r="H4" s="2" t="s">
        <v>12</v>
      </c>
    </row>
    <row r="5" spans="1:8" ht="27.6">
      <c r="A5" s="1" t="s">
        <v>13</v>
      </c>
      <c r="B5" s="2" t="s">
        <v>14</v>
      </c>
      <c r="C5" s="2"/>
      <c r="D5" s="2" t="s">
        <v>15</v>
      </c>
      <c r="E5" s="2" t="s">
        <v>16</v>
      </c>
      <c r="F5" s="4">
        <f>COUNTIFS(UAT!L2:L250,"Critica",UAT!J2:J250,"Fallido")+COUNTIFS(UAT!L2:L250,"Critica",UAT!J2:J250,"Bloqueado")</f>
        <v>0</v>
      </c>
      <c r="G5" s="2" t="str">
        <f>IF(F5=0,"Verde","Rojo")</f>
        <v>Verde</v>
      </c>
      <c r="H5" s="2" t="s">
        <v>17</v>
      </c>
    </row>
    <row r="6" spans="1:8" ht="27.6">
      <c r="A6" s="1" t="s">
        <v>18</v>
      </c>
      <c r="B6" s="2" t="s">
        <v>19</v>
      </c>
      <c r="C6" s="2"/>
      <c r="D6" s="2" t="s">
        <v>20</v>
      </c>
      <c r="E6" s="2" t="s">
        <v>16</v>
      </c>
      <c r="F6" s="4">
        <f>COUNTIF(UAT!J2:J250,"Bloqueado")</f>
        <v>0</v>
      </c>
      <c r="G6" s="2" t="str">
        <f>IF(F6=0,"Verde",IF(F6&lt;=2,"Amarillo","Rojo"))</f>
        <v>Verde</v>
      </c>
      <c r="H6" s="2" t="s">
        <v>21</v>
      </c>
    </row>
    <row r="7" spans="1:8" ht="27.6">
      <c r="A7" s="1" t="s">
        <v>22</v>
      </c>
      <c r="B7" s="2" t="s">
        <v>23</v>
      </c>
      <c r="C7" s="2"/>
      <c r="D7" s="2" t="s">
        <v>24</v>
      </c>
      <c r="E7" s="2" t="s">
        <v>16</v>
      </c>
      <c r="F7" s="4">
        <f>COUNTIF(Riesgos!G2:G100,"Abierto")</f>
        <v>5</v>
      </c>
      <c r="G7" s="2" t="str">
        <f>IF(F7=0,"Verde",IF(F7&lt;=2,"Amarillo","Rojo"))</f>
        <v>Rojo</v>
      </c>
      <c r="H7" s="2" t="s">
        <v>25</v>
      </c>
    </row>
    <row r="8" spans="1:8" ht="27.6">
      <c r="A8" s="1" t="s">
        <v>26</v>
      </c>
      <c r="B8" s="2" t="s">
        <v>27</v>
      </c>
      <c r="C8" s="2"/>
      <c r="D8" s="2" t="s">
        <v>28</v>
      </c>
      <c r="E8" s="2" t="s">
        <v>11</v>
      </c>
      <c r="F8" s="4">
        <f>IFERROR(COUNTIFS(UAT!B2:B250,"Dashboard",UAT!J2:J250,"Aprobado")/COUNTIF(UAT!B2:B250,"Dashboard"),0)</f>
        <v>0</v>
      </c>
      <c r="G8" s="2" t="str">
        <f t="shared" ref="G8:G14" si="0">IF(F8&gt;=0.95,"Verde",IF(F8&gt;=0.85,"Amarillo","Rojo"))</f>
        <v>Rojo</v>
      </c>
      <c r="H8" s="2" t="s">
        <v>29</v>
      </c>
    </row>
    <row r="9" spans="1:8">
      <c r="A9" s="1" t="s">
        <v>30</v>
      </c>
      <c r="B9" s="2" t="s">
        <v>31</v>
      </c>
      <c r="C9" s="2"/>
      <c r="D9" s="2" t="s">
        <v>32</v>
      </c>
      <c r="E9" s="2" t="s">
        <v>11</v>
      </c>
      <c r="F9" s="4">
        <f>IFERROR(COUNTIFS(UAT!B2:B250,"Kanban",UAT!J2:J250,"Aprobado")/COUNTIF(UAT!B2:B250,"Kanban"),0)</f>
        <v>0</v>
      </c>
      <c r="G9" s="2" t="str">
        <f t="shared" si="0"/>
        <v>Rojo</v>
      </c>
      <c r="H9" s="2" t="s">
        <v>33</v>
      </c>
    </row>
    <row r="10" spans="1:8">
      <c r="A10" s="1" t="s">
        <v>34</v>
      </c>
      <c r="B10" s="3">
        <v>46174.997824074075</v>
      </c>
      <c r="C10" s="2"/>
      <c r="D10" s="2" t="s">
        <v>35</v>
      </c>
      <c r="E10" s="2" t="s">
        <v>11</v>
      </c>
      <c r="F10" s="4">
        <f>IFERROR(COUNTIFS(UAT!B2:B250,"Academia",UAT!J2:J250,"Aprobado")/COUNTIF(UAT!B2:B250,"Academia"),0)</f>
        <v>0</v>
      </c>
      <c r="G10" s="2" t="str">
        <f t="shared" si="0"/>
        <v>Rojo</v>
      </c>
      <c r="H10" s="2" t="s">
        <v>36</v>
      </c>
    </row>
    <row r="11" spans="1:8">
      <c r="A11" s="2"/>
      <c r="B11" s="2"/>
      <c r="C11" s="2"/>
      <c r="D11" s="2" t="s">
        <v>37</v>
      </c>
      <c r="E11" s="2" t="s">
        <v>11</v>
      </c>
      <c r="F11" s="4">
        <f>IFERROR(COUNTIFS(UAT!B2:B250,"Disciplina",UAT!J2:J250,"Aprobado")/COUNTIF(UAT!B2:B250,"Disciplina"),0)</f>
        <v>0</v>
      </c>
      <c r="G11" s="2" t="str">
        <f t="shared" si="0"/>
        <v>Rojo</v>
      </c>
      <c r="H11" s="2" t="s">
        <v>38</v>
      </c>
    </row>
    <row r="12" spans="1:8">
      <c r="A12" s="2"/>
      <c r="B12" s="2"/>
      <c r="C12" s="2"/>
      <c r="D12" s="2" t="s">
        <v>39</v>
      </c>
      <c r="E12" s="2" t="s">
        <v>11</v>
      </c>
      <c r="F12" s="4">
        <f>IFERROR(COUNTIFS(UAT!B2:B250,"Calendario",UAT!J2:J250,"Aprobado")/COUNTIF(UAT!B2:B250,"Calendario"),0)</f>
        <v>0</v>
      </c>
      <c r="G12" s="2" t="str">
        <f t="shared" si="0"/>
        <v>Rojo</v>
      </c>
      <c r="H12" s="2" t="s">
        <v>40</v>
      </c>
    </row>
    <row r="13" spans="1:8" ht="27.6">
      <c r="A13" s="2"/>
      <c r="B13" s="2"/>
      <c r="C13" s="2"/>
      <c r="D13" s="2" t="s">
        <v>41</v>
      </c>
      <c r="E13" s="2" t="s">
        <v>11</v>
      </c>
      <c r="F13" s="4">
        <f>IFERROR(COUNTIFS(UAT!B2:B250,"Notificaciones",UAT!J2:J250,"Aprobado")/COUNTIF(UAT!B2:B250,"Notificaciones"),0)</f>
        <v>0</v>
      </c>
      <c r="G13" s="2" t="str">
        <f t="shared" si="0"/>
        <v>Rojo</v>
      </c>
      <c r="H13" s="2" t="s">
        <v>42</v>
      </c>
    </row>
    <row r="14" spans="1:8">
      <c r="A14" s="2"/>
      <c r="B14" s="2"/>
      <c r="C14" s="2"/>
      <c r="D14" s="2" t="s">
        <v>43</v>
      </c>
      <c r="E14" s="2" t="s">
        <v>11</v>
      </c>
      <c r="F14" s="4">
        <f>IFERROR(COUNTIFS(UAT!B2:B250,"Perfil",UAT!J2:J250,"Aprobado")/COUNTIF(UAT!B2:B250,"Perfil"),0)</f>
        <v>0</v>
      </c>
      <c r="G14" s="2" t="str">
        <f t="shared" si="0"/>
        <v>Rojo</v>
      </c>
      <c r="H14" s="2" t="s">
        <v>44</v>
      </c>
    </row>
    <row r="15" spans="1:8">
      <c r="A15" s="2"/>
      <c r="B15" s="2"/>
      <c r="C15" s="2"/>
      <c r="D15" s="2" t="s">
        <v>45</v>
      </c>
      <c r="E15" s="2" t="s">
        <v>46</v>
      </c>
      <c r="F15" s="4"/>
      <c r="G15" s="2"/>
      <c r="H15" s="2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showGridLines="0" workbookViewId="0"/>
  </sheetViews>
  <sheetFormatPr baseColWidth="10" defaultColWidth="8.796875" defaultRowHeight="13.8"/>
  <cols>
    <col min="1" max="1" width="8.09765625" customWidth="1"/>
    <col min="2" max="2" width="21.19921875" customWidth="1"/>
    <col min="3" max="4" width="27.5" customWidth="1"/>
    <col min="5" max="5" width="42.5" customWidth="1"/>
    <col min="6" max="6" width="31.19921875" customWidth="1"/>
    <col min="7" max="7" width="32.5" customWidth="1"/>
  </cols>
  <sheetData>
    <row r="1" spans="1:7" ht="25.5" customHeight="1">
      <c r="A1" s="5" t="s">
        <v>48</v>
      </c>
      <c r="B1" s="5"/>
      <c r="C1" s="5"/>
      <c r="D1" s="5"/>
      <c r="E1" s="5"/>
      <c r="F1" s="5"/>
      <c r="G1" s="5"/>
    </row>
    <row r="2" spans="1:7">
      <c r="A2" s="2"/>
      <c r="B2" s="2"/>
      <c r="C2" s="2"/>
      <c r="D2" s="2"/>
      <c r="E2" s="2"/>
      <c r="F2" s="2"/>
      <c r="G2" s="2"/>
    </row>
    <row r="3" spans="1:7">
      <c r="A3" s="6" t="s">
        <v>49</v>
      </c>
      <c r="B3" s="6" t="s">
        <v>50</v>
      </c>
      <c r="C3" s="6" t="s">
        <v>51</v>
      </c>
      <c r="D3" s="6" t="s">
        <v>52</v>
      </c>
      <c r="E3" s="6" t="s">
        <v>53</v>
      </c>
      <c r="F3" s="6" t="s">
        <v>54</v>
      </c>
      <c r="G3" s="6" t="s">
        <v>55</v>
      </c>
    </row>
    <row r="4" spans="1:7">
      <c r="A4" s="2">
        <v>1</v>
      </c>
      <c r="B4" s="2" t="s">
        <v>56</v>
      </c>
      <c r="C4" s="2" t="s">
        <v>57</v>
      </c>
      <c r="D4" s="2" t="s">
        <v>58</v>
      </c>
      <c r="E4" s="2" t="s">
        <v>59</v>
      </c>
      <c r="F4" s="2" t="s">
        <v>60</v>
      </c>
      <c r="G4" s="2" t="s">
        <v>61</v>
      </c>
    </row>
    <row r="5" spans="1:7">
      <c r="A5" s="2">
        <v>2</v>
      </c>
      <c r="B5" s="2" t="s">
        <v>62</v>
      </c>
      <c r="C5" s="2" t="s">
        <v>63</v>
      </c>
      <c r="D5" s="2" t="s">
        <v>58</v>
      </c>
      <c r="E5" s="2" t="s">
        <v>64</v>
      </c>
      <c r="F5" s="2" t="s">
        <v>65</v>
      </c>
      <c r="G5" s="2" t="s">
        <v>66</v>
      </c>
    </row>
    <row r="6" spans="1:7" ht="27.6">
      <c r="A6" s="2">
        <v>3</v>
      </c>
      <c r="B6" s="2" t="s">
        <v>67</v>
      </c>
      <c r="C6" s="2" t="s">
        <v>58</v>
      </c>
      <c r="D6" s="2" t="s">
        <v>58</v>
      </c>
      <c r="E6" s="2" t="s">
        <v>68</v>
      </c>
      <c r="F6" s="2" t="s">
        <v>69</v>
      </c>
      <c r="G6" s="2" t="s">
        <v>70</v>
      </c>
    </row>
    <row r="7" spans="1:7">
      <c r="A7" s="2">
        <v>4</v>
      </c>
      <c r="B7" s="2" t="s">
        <v>71</v>
      </c>
      <c r="C7" s="2" t="s">
        <v>72</v>
      </c>
      <c r="D7" s="2" t="s">
        <v>58</v>
      </c>
      <c r="E7" s="2" t="s">
        <v>73</v>
      </c>
      <c r="F7" s="2" t="s">
        <v>74</v>
      </c>
      <c r="G7" s="2" t="s">
        <v>75</v>
      </c>
    </row>
    <row r="8" spans="1:7">
      <c r="A8" s="2">
        <v>5</v>
      </c>
      <c r="B8" s="2" t="s">
        <v>76</v>
      </c>
      <c r="C8" s="2" t="s">
        <v>77</v>
      </c>
      <c r="D8" s="2" t="s">
        <v>58</v>
      </c>
      <c r="E8" s="2" t="s">
        <v>78</v>
      </c>
      <c r="F8" s="2" t="s">
        <v>79</v>
      </c>
      <c r="G8" s="2" t="s">
        <v>80</v>
      </c>
    </row>
    <row r="9" spans="1:7" ht="27.6">
      <c r="A9" s="2">
        <v>6</v>
      </c>
      <c r="B9" s="2" t="s">
        <v>81</v>
      </c>
      <c r="C9" s="2" t="s">
        <v>82</v>
      </c>
      <c r="D9" s="2" t="s">
        <v>83</v>
      </c>
      <c r="E9" s="2" t="s">
        <v>84</v>
      </c>
      <c r="F9" s="2" t="s">
        <v>85</v>
      </c>
      <c r="G9" s="2" t="s">
        <v>86</v>
      </c>
    </row>
    <row r="10" spans="1:7" ht="27.6">
      <c r="A10" s="2">
        <v>7</v>
      </c>
      <c r="B10" s="2" t="s">
        <v>87</v>
      </c>
      <c r="C10" s="2" t="s">
        <v>88</v>
      </c>
      <c r="D10" s="2" t="s">
        <v>58</v>
      </c>
      <c r="E10" s="2" t="s">
        <v>89</v>
      </c>
      <c r="F10" s="2" t="s">
        <v>90</v>
      </c>
      <c r="G10" s="2" t="s">
        <v>91</v>
      </c>
    </row>
    <row r="11" spans="1:7" ht="27.6">
      <c r="A11" s="2">
        <v>8</v>
      </c>
      <c r="B11" s="2" t="s">
        <v>92</v>
      </c>
      <c r="C11" s="2" t="s">
        <v>72</v>
      </c>
      <c r="D11" s="2" t="s">
        <v>58</v>
      </c>
      <c r="E11" s="2" t="s">
        <v>93</v>
      </c>
      <c r="F11" s="2" t="s">
        <v>94</v>
      </c>
      <c r="G11" s="2" t="s">
        <v>95</v>
      </c>
    </row>
    <row r="12" spans="1:7">
      <c r="A12" s="2">
        <v>9</v>
      </c>
      <c r="B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showGridLines="0" workbookViewId="0"/>
  </sheetViews>
  <sheetFormatPr baseColWidth="10" defaultColWidth="8.796875" defaultRowHeight="13.8"/>
  <cols>
    <col min="1" max="1" width="8.09765625" customWidth="1"/>
    <col min="2" max="2" width="14.3984375" customWidth="1"/>
    <col min="3" max="3" width="11.8984375" customWidth="1"/>
    <col min="4" max="4" width="32.5" customWidth="1"/>
    <col min="5" max="5" width="42.5" customWidth="1"/>
    <col min="6" max="7" width="21.19921875" customWidth="1"/>
    <col min="8" max="8" width="15" customWidth="1"/>
    <col min="9" max="9" width="40" customWidth="1"/>
  </cols>
  <sheetData>
    <row r="1" spans="1:9">
      <c r="A1" s="6" t="s">
        <v>102</v>
      </c>
      <c r="B1" s="6" t="s">
        <v>103</v>
      </c>
      <c r="C1" s="6" t="s">
        <v>104</v>
      </c>
      <c r="D1" s="6" t="s">
        <v>105</v>
      </c>
      <c r="E1" s="6" t="s">
        <v>106</v>
      </c>
      <c r="F1" s="6" t="s">
        <v>107</v>
      </c>
      <c r="G1" s="6" t="s">
        <v>108</v>
      </c>
      <c r="H1" s="6" t="s">
        <v>109</v>
      </c>
      <c r="I1" s="6" t="s">
        <v>110</v>
      </c>
    </row>
    <row r="2" spans="1:9">
      <c r="A2" s="2" t="s">
        <v>111</v>
      </c>
      <c r="B2" s="2" t="s">
        <v>112</v>
      </c>
      <c r="C2" s="2" t="s">
        <v>113</v>
      </c>
      <c r="D2" s="2" t="s">
        <v>114</v>
      </c>
      <c r="E2" s="2" t="s">
        <v>115</v>
      </c>
      <c r="F2" s="2" t="s">
        <v>58</v>
      </c>
      <c r="G2" s="2" t="s">
        <v>116</v>
      </c>
      <c r="H2" s="2" t="s">
        <v>117</v>
      </c>
      <c r="I2" s="2" t="s">
        <v>118</v>
      </c>
    </row>
    <row r="3" spans="1:9">
      <c r="A3" s="2" t="s">
        <v>119</v>
      </c>
      <c r="B3" s="2" t="s">
        <v>112</v>
      </c>
      <c r="C3" s="2" t="s">
        <v>113</v>
      </c>
      <c r="D3" s="2" t="s">
        <v>120</v>
      </c>
      <c r="E3" s="2" t="s">
        <v>121</v>
      </c>
      <c r="F3" s="2" t="s">
        <v>58</v>
      </c>
      <c r="G3" s="2" t="s">
        <v>122</v>
      </c>
      <c r="H3" s="2" t="s">
        <v>117</v>
      </c>
      <c r="I3" s="2" t="s">
        <v>123</v>
      </c>
    </row>
    <row r="4" spans="1:9" ht="27.6">
      <c r="A4" s="2" t="s">
        <v>124</v>
      </c>
      <c r="B4" s="2" t="s">
        <v>112</v>
      </c>
      <c r="C4" s="2" t="s">
        <v>113</v>
      </c>
      <c r="D4" s="2" t="s">
        <v>125</v>
      </c>
      <c r="E4" s="2" t="s">
        <v>126</v>
      </c>
      <c r="F4" s="2" t="s">
        <v>58</v>
      </c>
      <c r="G4" s="2" t="s">
        <v>127</v>
      </c>
      <c r="H4" s="2" t="s">
        <v>117</v>
      </c>
      <c r="I4" s="2" t="s">
        <v>128</v>
      </c>
    </row>
    <row r="5" spans="1:9">
      <c r="A5" s="2" t="s">
        <v>129</v>
      </c>
      <c r="B5" s="2" t="s">
        <v>130</v>
      </c>
      <c r="C5" s="2" t="s">
        <v>113</v>
      </c>
      <c r="D5" s="2" t="s">
        <v>131</v>
      </c>
      <c r="E5" s="2" t="s">
        <v>132</v>
      </c>
      <c r="F5" s="2" t="s">
        <v>58</v>
      </c>
      <c r="G5" s="2" t="s">
        <v>133</v>
      </c>
      <c r="H5" s="2" t="s">
        <v>117</v>
      </c>
      <c r="I5" s="2" t="s">
        <v>134</v>
      </c>
    </row>
    <row r="6" spans="1:9" ht="27.6">
      <c r="A6" s="2" t="s">
        <v>135</v>
      </c>
      <c r="B6" s="2" t="s">
        <v>81</v>
      </c>
      <c r="C6" s="2" t="s">
        <v>136</v>
      </c>
      <c r="D6" s="2" t="s">
        <v>137</v>
      </c>
      <c r="E6" s="2" t="s">
        <v>138</v>
      </c>
      <c r="F6" s="2" t="s">
        <v>82</v>
      </c>
      <c r="G6" s="2" t="s">
        <v>58</v>
      </c>
      <c r="H6" s="2" t="s">
        <v>117</v>
      </c>
      <c r="I6" s="2" t="s">
        <v>139</v>
      </c>
    </row>
    <row r="7" spans="1:9" ht="27.6">
      <c r="A7" s="2" t="s">
        <v>140</v>
      </c>
      <c r="B7" s="2" t="s">
        <v>81</v>
      </c>
      <c r="C7" s="2" t="s">
        <v>136</v>
      </c>
      <c r="D7" s="2" t="s">
        <v>141</v>
      </c>
      <c r="E7" s="2" t="s">
        <v>142</v>
      </c>
      <c r="F7" s="2" t="s">
        <v>82</v>
      </c>
      <c r="G7" s="2" t="s">
        <v>58</v>
      </c>
      <c r="H7" s="2" t="s">
        <v>117</v>
      </c>
      <c r="I7" s="2" t="s">
        <v>143</v>
      </c>
    </row>
    <row r="8" spans="1:9">
      <c r="A8" s="2" t="s">
        <v>144</v>
      </c>
      <c r="B8" s="2" t="s">
        <v>81</v>
      </c>
      <c r="C8" s="2" t="s">
        <v>136</v>
      </c>
      <c r="D8" s="2" t="s">
        <v>145</v>
      </c>
      <c r="E8" s="2" t="s">
        <v>146</v>
      </c>
      <c r="F8" s="2" t="s">
        <v>82</v>
      </c>
      <c r="G8" s="2" t="s">
        <v>58</v>
      </c>
      <c r="H8" s="2" t="s">
        <v>117</v>
      </c>
      <c r="I8" s="2" t="s">
        <v>147</v>
      </c>
    </row>
    <row r="9" spans="1:9">
      <c r="A9" s="2" t="s">
        <v>148</v>
      </c>
      <c r="B9" s="2" t="s">
        <v>81</v>
      </c>
      <c r="C9" s="2" t="s">
        <v>136</v>
      </c>
      <c r="D9" s="2" t="s">
        <v>149</v>
      </c>
      <c r="E9" s="2" t="s">
        <v>150</v>
      </c>
      <c r="F9" s="2" t="s">
        <v>82</v>
      </c>
      <c r="G9" s="2" t="s">
        <v>58</v>
      </c>
      <c r="H9" s="2" t="s">
        <v>117</v>
      </c>
      <c r="I9" s="2" t="s">
        <v>151</v>
      </c>
    </row>
    <row r="10" spans="1:9" ht="27.6">
      <c r="A10" s="2" t="s">
        <v>152</v>
      </c>
      <c r="B10" s="2" t="s">
        <v>81</v>
      </c>
      <c r="C10" s="2" t="s">
        <v>136</v>
      </c>
      <c r="D10" s="2" t="s">
        <v>153</v>
      </c>
      <c r="E10" s="2" t="s">
        <v>154</v>
      </c>
      <c r="F10" s="2" t="s">
        <v>82</v>
      </c>
      <c r="G10" s="2" t="s">
        <v>58</v>
      </c>
      <c r="H10" s="2" t="s">
        <v>117</v>
      </c>
      <c r="I10" s="2" t="s">
        <v>155</v>
      </c>
    </row>
    <row r="11" spans="1:9">
      <c r="A11" s="2" t="s">
        <v>156</v>
      </c>
      <c r="B11" s="2" t="s">
        <v>157</v>
      </c>
      <c r="C11" s="2" t="s">
        <v>158</v>
      </c>
      <c r="D11" s="2" t="s">
        <v>159</v>
      </c>
      <c r="E11" s="2" t="s">
        <v>160</v>
      </c>
      <c r="F11" s="2" t="s">
        <v>58</v>
      </c>
      <c r="G11" s="2" t="s">
        <v>127</v>
      </c>
      <c r="H11" s="2" t="s">
        <v>117</v>
      </c>
      <c r="I11" s="2" t="s">
        <v>161</v>
      </c>
    </row>
    <row r="12" spans="1:9" ht="27.6">
      <c r="A12" s="2" t="s">
        <v>162</v>
      </c>
      <c r="B12" s="2" t="s">
        <v>157</v>
      </c>
      <c r="C12" s="2" t="s">
        <v>158</v>
      </c>
      <c r="D12" s="2" t="s">
        <v>163</v>
      </c>
      <c r="E12" s="2" t="s">
        <v>164</v>
      </c>
      <c r="F12" s="2" t="s">
        <v>82</v>
      </c>
      <c r="G12" s="2" t="s">
        <v>58</v>
      </c>
      <c r="H12" s="2" t="s">
        <v>117</v>
      </c>
      <c r="I12" s="2" t="s">
        <v>165</v>
      </c>
    </row>
    <row r="13" spans="1:9">
      <c r="A13" s="2" t="s">
        <v>166</v>
      </c>
      <c r="B13" s="2" t="s">
        <v>167</v>
      </c>
      <c r="C13" s="2" t="s">
        <v>158</v>
      </c>
      <c r="D13" s="2" t="s">
        <v>45</v>
      </c>
      <c r="E13" s="2" t="s">
        <v>168</v>
      </c>
      <c r="F13" s="2" t="s">
        <v>116</v>
      </c>
      <c r="G13" s="2" t="s">
        <v>58</v>
      </c>
      <c r="H13" s="2" t="s">
        <v>117</v>
      </c>
      <c r="I13" s="2" t="s">
        <v>169</v>
      </c>
    </row>
  </sheetData>
  <dataValidations count="1">
    <dataValidation type="list" sqref="H2:H100" xr:uid="{00000000-0002-0000-0200-000000000000}">
      <formula1>"Pendiente,En progreso,Hecho,Bloqueado"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showGridLines="0" workbookViewId="0">
      <selection activeCell="F7" sqref="F7"/>
    </sheetView>
  </sheetViews>
  <sheetFormatPr baseColWidth="10" defaultColWidth="8.796875" defaultRowHeight="13.8"/>
  <cols>
    <col min="1" max="1" width="13.09765625" customWidth="1"/>
    <col min="2" max="2" width="16.8984375" customWidth="1"/>
    <col min="3" max="3" width="32.5" customWidth="1"/>
    <col min="4" max="4" width="45" customWidth="1"/>
    <col min="5" max="5" width="21.19921875" customWidth="1"/>
    <col min="6" max="6" width="20" customWidth="1"/>
    <col min="7" max="7" width="15" customWidth="1"/>
    <col min="8" max="8" width="41.19921875" customWidth="1"/>
    <col min="9" max="9" width="30" customWidth="1"/>
  </cols>
  <sheetData>
    <row r="1" spans="1:9">
      <c r="A1" s="6" t="s">
        <v>102</v>
      </c>
      <c r="B1" s="6" t="s">
        <v>170</v>
      </c>
      <c r="C1" s="6" t="s">
        <v>171</v>
      </c>
      <c r="D1" s="6" t="s">
        <v>106</v>
      </c>
      <c r="E1" s="6" t="s">
        <v>107</v>
      </c>
      <c r="F1" s="6" t="s">
        <v>108</v>
      </c>
      <c r="G1" s="6" t="s">
        <v>109</v>
      </c>
      <c r="H1" s="6" t="s">
        <v>110</v>
      </c>
      <c r="I1" s="6" t="s">
        <v>172</v>
      </c>
    </row>
    <row r="2" spans="1:9" ht="27.6">
      <c r="A2" s="2" t="s">
        <v>173</v>
      </c>
      <c r="B2" s="2" t="s">
        <v>174</v>
      </c>
      <c r="C2" s="2" t="s">
        <v>175</v>
      </c>
      <c r="D2" s="2" t="s">
        <v>176</v>
      </c>
      <c r="E2" s="2" t="s">
        <v>58</v>
      </c>
      <c r="F2" s="2" t="s">
        <v>695</v>
      </c>
      <c r="G2" s="2" t="s">
        <v>117</v>
      </c>
      <c r="H2" s="2" t="s">
        <v>177</v>
      </c>
      <c r="I2" s="2"/>
    </row>
    <row r="3" spans="1:9" ht="27.6">
      <c r="A3" s="2" t="s">
        <v>178</v>
      </c>
      <c r="B3" s="2" t="s">
        <v>179</v>
      </c>
      <c r="C3" s="2" t="s">
        <v>180</v>
      </c>
      <c r="D3" s="2" t="s">
        <v>181</v>
      </c>
      <c r="E3" s="2" t="s">
        <v>58</v>
      </c>
      <c r="F3" s="2" t="s">
        <v>695</v>
      </c>
      <c r="G3" s="2" t="s">
        <v>117</v>
      </c>
      <c r="H3" s="2" t="s">
        <v>182</v>
      </c>
      <c r="I3" s="2"/>
    </row>
    <row r="4" spans="1:9" ht="27.6">
      <c r="A4" s="2" t="s">
        <v>183</v>
      </c>
      <c r="B4" s="2" t="s">
        <v>184</v>
      </c>
      <c r="C4" s="2" t="s">
        <v>185</v>
      </c>
      <c r="D4" s="2" t="s">
        <v>186</v>
      </c>
      <c r="E4" s="2" t="s">
        <v>58</v>
      </c>
      <c r="F4" s="2" t="s">
        <v>695</v>
      </c>
      <c r="G4" s="2" t="s">
        <v>117</v>
      </c>
      <c r="H4" s="2" t="s">
        <v>187</v>
      </c>
      <c r="I4" s="2"/>
    </row>
    <row r="5" spans="1:9" ht="27.6">
      <c r="A5" s="2" t="s">
        <v>188</v>
      </c>
      <c r="B5" s="2" t="s">
        <v>189</v>
      </c>
      <c r="C5" s="2" t="s">
        <v>190</v>
      </c>
      <c r="D5" s="2" t="s">
        <v>191</v>
      </c>
      <c r="E5" s="2" t="s">
        <v>58</v>
      </c>
      <c r="F5" s="2" t="s">
        <v>695</v>
      </c>
      <c r="G5" s="2" t="s">
        <v>117</v>
      </c>
      <c r="H5" s="2" t="s">
        <v>192</v>
      </c>
      <c r="I5" s="2"/>
    </row>
    <row r="6" spans="1:9" ht="27.6">
      <c r="A6" s="2" t="s">
        <v>193</v>
      </c>
      <c r="B6" s="2" t="s">
        <v>194</v>
      </c>
      <c r="C6" s="2" t="s">
        <v>195</v>
      </c>
      <c r="D6" s="2" t="s">
        <v>196</v>
      </c>
      <c r="E6" s="2" t="s">
        <v>58</v>
      </c>
      <c r="F6" s="2" t="s">
        <v>695</v>
      </c>
      <c r="G6" s="2" t="s">
        <v>117</v>
      </c>
      <c r="H6" s="2" t="s">
        <v>197</v>
      </c>
      <c r="I6" s="2"/>
    </row>
    <row r="7" spans="1:9" ht="27.6">
      <c r="A7" s="2" t="s">
        <v>198</v>
      </c>
      <c r="B7" s="2" t="s">
        <v>199</v>
      </c>
      <c r="C7" s="2" t="s">
        <v>200</v>
      </c>
      <c r="D7" s="2" t="s">
        <v>201</v>
      </c>
      <c r="E7" s="2" t="s">
        <v>58</v>
      </c>
      <c r="F7" s="2" t="s">
        <v>695</v>
      </c>
      <c r="G7" s="2" t="s">
        <v>117</v>
      </c>
      <c r="H7" s="2" t="s">
        <v>202</v>
      </c>
      <c r="I7" s="2" t="s">
        <v>203</v>
      </c>
    </row>
    <row r="8" spans="1:9" ht="27.6">
      <c r="A8" s="2" t="s">
        <v>204</v>
      </c>
      <c r="B8" s="2" t="s">
        <v>205</v>
      </c>
      <c r="C8" s="2" t="s">
        <v>206</v>
      </c>
      <c r="D8" s="2" t="s">
        <v>207</v>
      </c>
      <c r="E8" s="2" t="s">
        <v>58</v>
      </c>
      <c r="F8" s="2" t="s">
        <v>695</v>
      </c>
      <c r="G8" s="2" t="s">
        <v>117</v>
      </c>
      <c r="H8" s="2" t="s">
        <v>208</v>
      </c>
      <c r="I8" s="2"/>
    </row>
  </sheetData>
  <dataValidations count="1">
    <dataValidation type="list" sqref="G2:G100" xr:uid="{00000000-0002-0000-0300-000000000000}">
      <formula1>"Pendiente,En progreso,Hecho,Bloqueado"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5"/>
  <sheetViews>
    <sheetView showGridLines="0" topLeftCell="A15" workbookViewId="0"/>
  </sheetViews>
  <sheetFormatPr baseColWidth="10" defaultColWidth="8.796875" defaultRowHeight="13.8"/>
  <cols>
    <col min="1" max="1" width="15" customWidth="1"/>
    <col min="2" max="2" width="16.8984375" customWidth="1"/>
    <col min="3" max="3" width="13.09765625" customWidth="1"/>
    <col min="4" max="4" width="32.5" customWidth="1"/>
    <col min="5" max="5" width="30" customWidth="1"/>
    <col min="6" max="7" width="41.19921875" customWidth="1"/>
    <col min="8" max="8" width="11.19921875" customWidth="1"/>
    <col min="9" max="9" width="20" customWidth="1"/>
    <col min="10" max="10" width="13.69921875" customWidth="1"/>
    <col min="11" max="11" width="26.19921875" customWidth="1"/>
    <col min="12" max="12" width="11.19921875" customWidth="1"/>
    <col min="13" max="13" width="35" customWidth="1"/>
  </cols>
  <sheetData>
    <row r="1" spans="1:13" ht="27.6">
      <c r="A1" s="6" t="s">
        <v>209</v>
      </c>
      <c r="B1" s="6" t="s">
        <v>170</v>
      </c>
      <c r="C1" s="6" t="s">
        <v>210</v>
      </c>
      <c r="D1" s="6" t="s">
        <v>211</v>
      </c>
      <c r="E1" s="6" t="s">
        <v>212</v>
      </c>
      <c r="F1" s="6" t="s">
        <v>213</v>
      </c>
      <c r="G1" s="6" t="s">
        <v>214</v>
      </c>
      <c r="H1" s="6" t="s">
        <v>215</v>
      </c>
      <c r="I1" s="6" t="s">
        <v>107</v>
      </c>
      <c r="J1" s="6" t="s">
        <v>216</v>
      </c>
      <c r="K1" s="6" t="s">
        <v>217</v>
      </c>
      <c r="L1" s="6" t="s">
        <v>218</v>
      </c>
      <c r="M1" s="6" t="s">
        <v>219</v>
      </c>
    </row>
    <row r="2" spans="1:13">
      <c r="A2" s="2" t="s">
        <v>220</v>
      </c>
      <c r="B2" s="2" t="s">
        <v>174</v>
      </c>
      <c r="C2" s="2" t="s">
        <v>221</v>
      </c>
      <c r="D2" s="2" t="s">
        <v>222</v>
      </c>
      <c r="E2" s="2" t="s">
        <v>223</v>
      </c>
      <c r="F2" s="2" t="s">
        <v>224</v>
      </c>
      <c r="G2" s="2" t="s">
        <v>225</v>
      </c>
      <c r="H2" s="2" t="s">
        <v>226</v>
      </c>
      <c r="I2" s="2" t="s">
        <v>227</v>
      </c>
      <c r="J2" s="2" t="s">
        <v>117</v>
      </c>
      <c r="K2" s="2"/>
      <c r="L2" s="2" t="s">
        <v>228</v>
      </c>
      <c r="M2" s="2"/>
    </row>
    <row r="3" spans="1:13">
      <c r="A3" s="2" t="s">
        <v>229</v>
      </c>
      <c r="B3" s="2" t="s">
        <v>174</v>
      </c>
      <c r="C3" s="2" t="s">
        <v>221</v>
      </c>
      <c r="D3" s="2" t="s">
        <v>230</v>
      </c>
      <c r="E3" s="2" t="s">
        <v>231</v>
      </c>
      <c r="F3" s="2" t="s">
        <v>232</v>
      </c>
      <c r="G3" s="2" t="s">
        <v>233</v>
      </c>
      <c r="H3" s="2" t="s">
        <v>234</v>
      </c>
      <c r="I3" s="2" t="s">
        <v>227</v>
      </c>
      <c r="J3" s="2" t="s">
        <v>117</v>
      </c>
      <c r="K3" s="2"/>
      <c r="L3" s="2" t="s">
        <v>228</v>
      </c>
      <c r="M3" s="2"/>
    </row>
    <row r="4" spans="1:13">
      <c r="A4" s="2" t="s">
        <v>235</v>
      </c>
      <c r="B4" s="2" t="s">
        <v>174</v>
      </c>
      <c r="C4" s="2" t="s">
        <v>221</v>
      </c>
      <c r="D4" s="2" t="s">
        <v>236</v>
      </c>
      <c r="E4" s="2" t="s">
        <v>237</v>
      </c>
      <c r="F4" s="2" t="s">
        <v>238</v>
      </c>
      <c r="G4" s="2" t="s">
        <v>239</v>
      </c>
      <c r="H4" s="2" t="s">
        <v>226</v>
      </c>
      <c r="I4" s="2" t="s">
        <v>227</v>
      </c>
      <c r="J4" s="2" t="s">
        <v>117</v>
      </c>
      <c r="K4" s="2"/>
      <c r="L4" s="2" t="s">
        <v>240</v>
      </c>
      <c r="M4" s="2"/>
    </row>
    <row r="5" spans="1:13" ht="27.6">
      <c r="A5" s="2" t="s">
        <v>241</v>
      </c>
      <c r="B5" s="2" t="s">
        <v>174</v>
      </c>
      <c r="C5" s="2" t="s">
        <v>221</v>
      </c>
      <c r="D5" s="2" t="s">
        <v>242</v>
      </c>
      <c r="E5" s="2" t="s">
        <v>243</v>
      </c>
      <c r="F5" s="2" t="s">
        <v>244</v>
      </c>
      <c r="G5" s="2" t="s">
        <v>245</v>
      </c>
      <c r="H5" s="2" t="s">
        <v>246</v>
      </c>
      <c r="I5" s="2" t="s">
        <v>227</v>
      </c>
      <c r="J5" s="2" t="s">
        <v>117</v>
      </c>
      <c r="K5" s="2"/>
      <c r="L5" s="2" t="s">
        <v>228</v>
      </c>
      <c r="M5" s="2"/>
    </row>
    <row r="6" spans="1:13">
      <c r="A6" s="2" t="s">
        <v>247</v>
      </c>
      <c r="B6" s="2" t="s">
        <v>174</v>
      </c>
      <c r="C6" s="2" t="s">
        <v>221</v>
      </c>
      <c r="D6" s="2" t="s">
        <v>248</v>
      </c>
      <c r="E6" s="2" t="s">
        <v>249</v>
      </c>
      <c r="F6" s="2" t="s">
        <v>250</v>
      </c>
      <c r="G6" s="2" t="s">
        <v>251</v>
      </c>
      <c r="H6" s="2" t="s">
        <v>252</v>
      </c>
      <c r="I6" s="2" t="s">
        <v>227</v>
      </c>
      <c r="J6" s="2" t="s">
        <v>117</v>
      </c>
      <c r="K6" s="2"/>
      <c r="L6" s="2" t="s">
        <v>240</v>
      </c>
      <c r="M6" s="2"/>
    </row>
    <row r="7" spans="1:13" ht="27.6">
      <c r="A7" s="2" t="s">
        <v>253</v>
      </c>
      <c r="B7" s="2" t="s">
        <v>174</v>
      </c>
      <c r="C7" s="2" t="s">
        <v>221</v>
      </c>
      <c r="D7" s="2" t="s">
        <v>254</v>
      </c>
      <c r="E7" s="2" t="s">
        <v>255</v>
      </c>
      <c r="F7" s="2" t="s">
        <v>256</v>
      </c>
      <c r="G7" s="2" t="s">
        <v>257</v>
      </c>
      <c r="H7" s="2" t="s">
        <v>234</v>
      </c>
      <c r="I7" s="2" t="s">
        <v>227</v>
      </c>
      <c r="J7" s="2" t="s">
        <v>117</v>
      </c>
      <c r="K7" s="2"/>
      <c r="L7" s="2" t="s">
        <v>240</v>
      </c>
      <c r="M7" s="2"/>
    </row>
    <row r="8" spans="1:13" ht="27.6">
      <c r="A8" s="2" t="s">
        <v>258</v>
      </c>
      <c r="B8" s="2" t="s">
        <v>174</v>
      </c>
      <c r="C8" s="2" t="s">
        <v>221</v>
      </c>
      <c r="D8" s="2" t="s">
        <v>259</v>
      </c>
      <c r="E8" s="2" t="s">
        <v>260</v>
      </c>
      <c r="F8" s="2" t="s">
        <v>261</v>
      </c>
      <c r="G8" s="2" t="s">
        <v>262</v>
      </c>
      <c r="H8" s="2" t="s">
        <v>234</v>
      </c>
      <c r="I8" s="2" t="s">
        <v>227</v>
      </c>
      <c r="J8" s="2" t="s">
        <v>117</v>
      </c>
      <c r="K8" s="2"/>
      <c r="L8" s="2" t="s">
        <v>263</v>
      </c>
      <c r="M8" s="2"/>
    </row>
    <row r="9" spans="1:13">
      <c r="A9" s="2" t="s">
        <v>264</v>
      </c>
      <c r="B9" s="2" t="s">
        <v>174</v>
      </c>
      <c r="C9" s="2" t="s">
        <v>221</v>
      </c>
      <c r="D9" s="2" t="s">
        <v>265</v>
      </c>
      <c r="E9" s="2" t="s">
        <v>266</v>
      </c>
      <c r="F9" s="2" t="s">
        <v>267</v>
      </c>
      <c r="G9" s="2" t="s">
        <v>268</v>
      </c>
      <c r="H9" s="2" t="s">
        <v>234</v>
      </c>
      <c r="I9" s="2" t="s">
        <v>227</v>
      </c>
      <c r="J9" s="2" t="s">
        <v>117</v>
      </c>
      <c r="K9" s="2"/>
      <c r="L9" s="2" t="s">
        <v>240</v>
      </c>
      <c r="M9" s="2"/>
    </row>
    <row r="10" spans="1:13" ht="27.6">
      <c r="A10" s="2" t="s">
        <v>269</v>
      </c>
      <c r="B10" s="2" t="s">
        <v>174</v>
      </c>
      <c r="C10" s="2" t="s">
        <v>221</v>
      </c>
      <c r="D10" s="2" t="s">
        <v>270</v>
      </c>
      <c r="E10" s="2" t="s">
        <v>231</v>
      </c>
      <c r="F10" s="2" t="s">
        <v>271</v>
      </c>
      <c r="G10" s="2" t="s">
        <v>272</v>
      </c>
      <c r="H10" s="2" t="s">
        <v>273</v>
      </c>
      <c r="I10" s="2" t="s">
        <v>227</v>
      </c>
      <c r="J10" s="2" t="s">
        <v>117</v>
      </c>
      <c r="K10" s="2"/>
      <c r="L10" s="2" t="s">
        <v>228</v>
      </c>
      <c r="M10" s="2"/>
    </row>
    <row r="11" spans="1:13" ht="27.6">
      <c r="A11" s="2" t="s">
        <v>274</v>
      </c>
      <c r="B11" s="2" t="s">
        <v>174</v>
      </c>
      <c r="C11" s="2" t="s">
        <v>275</v>
      </c>
      <c r="D11" s="2" t="s">
        <v>276</v>
      </c>
      <c r="E11" s="2" t="s">
        <v>277</v>
      </c>
      <c r="F11" s="2" t="s">
        <v>278</v>
      </c>
      <c r="G11" s="2" t="s">
        <v>279</v>
      </c>
      <c r="H11" s="2" t="s">
        <v>246</v>
      </c>
      <c r="I11" s="2" t="s">
        <v>58</v>
      </c>
      <c r="J11" s="2" t="s">
        <v>117</v>
      </c>
      <c r="K11" s="2"/>
      <c r="L11" s="2" t="s">
        <v>228</v>
      </c>
      <c r="M11" s="2"/>
    </row>
    <row r="12" spans="1:13">
      <c r="A12" s="2" t="s">
        <v>280</v>
      </c>
      <c r="B12" s="2" t="s">
        <v>174</v>
      </c>
      <c r="C12" s="2" t="s">
        <v>281</v>
      </c>
      <c r="D12" s="2" t="s">
        <v>282</v>
      </c>
      <c r="E12" s="2" t="s">
        <v>283</v>
      </c>
      <c r="F12" s="2" t="s">
        <v>284</v>
      </c>
      <c r="G12" s="2" t="s">
        <v>285</v>
      </c>
      <c r="H12" s="2" t="s">
        <v>234</v>
      </c>
      <c r="I12" s="2" t="s">
        <v>227</v>
      </c>
      <c r="J12" s="2" t="s">
        <v>117</v>
      </c>
      <c r="K12" s="2"/>
      <c r="L12" s="2" t="s">
        <v>263</v>
      </c>
      <c r="M12" s="2"/>
    </row>
    <row r="13" spans="1:13" ht="27.6">
      <c r="A13" s="2" t="s">
        <v>286</v>
      </c>
      <c r="B13" s="2" t="s">
        <v>174</v>
      </c>
      <c r="C13" s="2" t="s">
        <v>281</v>
      </c>
      <c r="D13" s="2" t="s">
        <v>287</v>
      </c>
      <c r="E13" s="2" t="s">
        <v>288</v>
      </c>
      <c r="F13" s="2" t="s">
        <v>289</v>
      </c>
      <c r="G13" s="2" t="s">
        <v>290</v>
      </c>
      <c r="H13" s="2" t="s">
        <v>234</v>
      </c>
      <c r="I13" s="2" t="s">
        <v>227</v>
      </c>
      <c r="J13" s="2" t="s">
        <v>117</v>
      </c>
      <c r="K13" s="2"/>
      <c r="L13" s="2" t="s">
        <v>240</v>
      </c>
      <c r="M13" s="2"/>
    </row>
    <row r="14" spans="1:13">
      <c r="A14" s="2" t="s">
        <v>291</v>
      </c>
      <c r="B14" s="2" t="s">
        <v>174</v>
      </c>
      <c r="C14" s="2" t="s">
        <v>281</v>
      </c>
      <c r="D14" s="2" t="s">
        <v>292</v>
      </c>
      <c r="E14" s="2" t="s">
        <v>293</v>
      </c>
      <c r="F14" s="2" t="s">
        <v>294</v>
      </c>
      <c r="G14" s="2" t="s">
        <v>295</v>
      </c>
      <c r="H14" s="2" t="s">
        <v>234</v>
      </c>
      <c r="I14" s="2" t="s">
        <v>58</v>
      </c>
      <c r="J14" s="2" t="s">
        <v>117</v>
      </c>
      <c r="K14" s="2"/>
      <c r="L14" s="2" t="s">
        <v>240</v>
      </c>
      <c r="M14" s="2"/>
    </row>
    <row r="15" spans="1:13" ht="27.6">
      <c r="A15" s="2" t="s">
        <v>296</v>
      </c>
      <c r="B15" s="2" t="s">
        <v>179</v>
      </c>
      <c r="C15" s="2" t="s">
        <v>221</v>
      </c>
      <c r="D15" s="2" t="s">
        <v>297</v>
      </c>
      <c r="E15" s="2" t="s">
        <v>223</v>
      </c>
      <c r="F15" s="2" t="s">
        <v>298</v>
      </c>
      <c r="G15" s="2" t="s">
        <v>299</v>
      </c>
      <c r="H15" s="2" t="s">
        <v>226</v>
      </c>
      <c r="I15" s="2" t="s">
        <v>227</v>
      </c>
      <c r="J15" s="2" t="s">
        <v>117</v>
      </c>
      <c r="K15" s="2"/>
      <c r="L15" s="2" t="s">
        <v>228</v>
      </c>
      <c r="M15" s="2"/>
    </row>
    <row r="16" spans="1:13">
      <c r="A16" s="2" t="s">
        <v>300</v>
      </c>
      <c r="B16" s="2" t="s">
        <v>179</v>
      </c>
      <c r="C16" s="2" t="s">
        <v>221</v>
      </c>
      <c r="D16" s="2" t="s">
        <v>301</v>
      </c>
      <c r="E16" s="2" t="s">
        <v>302</v>
      </c>
      <c r="F16" s="2" t="s">
        <v>303</v>
      </c>
      <c r="G16" s="2" t="s">
        <v>304</v>
      </c>
      <c r="H16" s="2" t="s">
        <v>305</v>
      </c>
      <c r="I16" s="2" t="s">
        <v>227</v>
      </c>
      <c r="J16" s="2" t="s">
        <v>117</v>
      </c>
      <c r="K16" s="2"/>
      <c r="L16" s="2" t="s">
        <v>263</v>
      </c>
      <c r="M16" s="2"/>
    </row>
    <row r="17" spans="1:13" ht="27.6">
      <c r="A17" s="2" t="s">
        <v>306</v>
      </c>
      <c r="B17" s="2" t="s">
        <v>179</v>
      </c>
      <c r="C17" s="2" t="s">
        <v>221</v>
      </c>
      <c r="D17" s="2" t="s">
        <v>307</v>
      </c>
      <c r="E17" s="2" t="s">
        <v>308</v>
      </c>
      <c r="F17" s="2" t="s">
        <v>309</v>
      </c>
      <c r="G17" s="2" t="s">
        <v>310</v>
      </c>
      <c r="H17" s="2" t="s">
        <v>252</v>
      </c>
      <c r="I17" s="2" t="s">
        <v>227</v>
      </c>
      <c r="J17" s="2" t="s">
        <v>117</v>
      </c>
      <c r="K17" s="2"/>
      <c r="L17" s="2" t="s">
        <v>228</v>
      </c>
      <c r="M17" s="2"/>
    </row>
    <row r="18" spans="1:13">
      <c r="A18" s="2" t="s">
        <v>311</v>
      </c>
      <c r="B18" s="2" t="s">
        <v>179</v>
      </c>
      <c r="C18" s="2" t="s">
        <v>221</v>
      </c>
      <c r="D18" s="2" t="s">
        <v>312</v>
      </c>
      <c r="E18" s="2" t="s">
        <v>313</v>
      </c>
      <c r="F18" s="2" t="s">
        <v>314</v>
      </c>
      <c r="G18" s="2" t="s">
        <v>315</v>
      </c>
      <c r="H18" s="2" t="s">
        <v>273</v>
      </c>
      <c r="I18" s="2" t="s">
        <v>227</v>
      </c>
      <c r="J18" s="2" t="s">
        <v>117</v>
      </c>
      <c r="K18" s="2"/>
      <c r="L18" s="2" t="s">
        <v>263</v>
      </c>
      <c r="M18" s="2"/>
    </row>
    <row r="19" spans="1:13" ht="27.6">
      <c r="A19" s="2" t="s">
        <v>316</v>
      </c>
      <c r="B19" s="2" t="s">
        <v>179</v>
      </c>
      <c r="C19" s="2" t="s">
        <v>275</v>
      </c>
      <c r="D19" s="2" t="s">
        <v>317</v>
      </c>
      <c r="E19" s="2" t="s">
        <v>318</v>
      </c>
      <c r="F19" s="2" t="s">
        <v>319</v>
      </c>
      <c r="G19" s="2" t="s">
        <v>320</v>
      </c>
      <c r="H19" s="2" t="s">
        <v>234</v>
      </c>
      <c r="I19" s="2" t="s">
        <v>227</v>
      </c>
      <c r="J19" s="2" t="s">
        <v>117</v>
      </c>
      <c r="K19" s="2"/>
      <c r="L19" s="2" t="s">
        <v>228</v>
      </c>
      <c r="M19" s="2"/>
    </row>
    <row r="20" spans="1:13">
      <c r="A20" s="2" t="s">
        <v>321</v>
      </c>
      <c r="B20" s="2" t="s">
        <v>179</v>
      </c>
      <c r="C20" s="2" t="s">
        <v>221</v>
      </c>
      <c r="D20" s="2" t="s">
        <v>322</v>
      </c>
      <c r="E20" s="2" t="s">
        <v>323</v>
      </c>
      <c r="F20" s="2" t="s">
        <v>324</v>
      </c>
      <c r="G20" s="2" t="s">
        <v>325</v>
      </c>
      <c r="H20" s="2" t="s">
        <v>252</v>
      </c>
      <c r="I20" s="2" t="s">
        <v>227</v>
      </c>
      <c r="J20" s="2" t="s">
        <v>117</v>
      </c>
      <c r="K20" s="2"/>
      <c r="L20" s="2" t="s">
        <v>240</v>
      </c>
      <c r="M20" s="2"/>
    </row>
    <row r="21" spans="1:13">
      <c r="A21" s="2" t="s">
        <v>326</v>
      </c>
      <c r="B21" s="2" t="s">
        <v>179</v>
      </c>
      <c r="C21" s="2" t="s">
        <v>221</v>
      </c>
      <c r="D21" s="2" t="s">
        <v>327</v>
      </c>
      <c r="E21" s="2" t="s">
        <v>323</v>
      </c>
      <c r="F21" s="2" t="s">
        <v>328</v>
      </c>
      <c r="G21" s="2" t="s">
        <v>329</v>
      </c>
      <c r="H21" s="2" t="s">
        <v>273</v>
      </c>
      <c r="I21" s="2" t="s">
        <v>227</v>
      </c>
      <c r="J21" s="2" t="s">
        <v>117</v>
      </c>
      <c r="K21" s="2"/>
      <c r="L21" s="2" t="s">
        <v>228</v>
      </c>
      <c r="M21" s="2"/>
    </row>
    <row r="22" spans="1:13" ht="27.6">
      <c r="A22" s="2" t="s">
        <v>330</v>
      </c>
      <c r="B22" s="2" t="s">
        <v>179</v>
      </c>
      <c r="C22" s="2" t="s">
        <v>221</v>
      </c>
      <c r="D22" s="2" t="s">
        <v>331</v>
      </c>
      <c r="E22" s="2" t="s">
        <v>332</v>
      </c>
      <c r="F22" s="2" t="s">
        <v>333</v>
      </c>
      <c r="G22" s="2" t="s">
        <v>334</v>
      </c>
      <c r="H22" s="2" t="s">
        <v>252</v>
      </c>
      <c r="I22" s="2" t="s">
        <v>227</v>
      </c>
      <c r="J22" s="2" t="s">
        <v>117</v>
      </c>
      <c r="K22" s="2"/>
      <c r="L22" s="2" t="s">
        <v>240</v>
      </c>
      <c r="M22" s="2"/>
    </row>
    <row r="23" spans="1:13">
      <c r="A23" s="2" t="s">
        <v>335</v>
      </c>
      <c r="B23" s="2" t="s">
        <v>179</v>
      </c>
      <c r="C23" s="2" t="s">
        <v>221</v>
      </c>
      <c r="D23" s="2" t="s">
        <v>336</v>
      </c>
      <c r="E23" s="2" t="s">
        <v>337</v>
      </c>
      <c r="F23" s="2" t="s">
        <v>338</v>
      </c>
      <c r="G23" s="2" t="s">
        <v>339</v>
      </c>
      <c r="H23" s="2" t="s">
        <v>234</v>
      </c>
      <c r="I23" s="2" t="s">
        <v>227</v>
      </c>
      <c r="J23" s="2" t="s">
        <v>117</v>
      </c>
      <c r="K23" s="2"/>
      <c r="L23" s="2" t="s">
        <v>263</v>
      </c>
      <c r="M23" s="2"/>
    </row>
    <row r="24" spans="1:13" ht="27.6">
      <c r="A24" s="2" t="s">
        <v>340</v>
      </c>
      <c r="B24" s="2" t="s">
        <v>179</v>
      </c>
      <c r="C24" s="2" t="s">
        <v>221</v>
      </c>
      <c r="D24" s="2" t="s">
        <v>341</v>
      </c>
      <c r="E24" s="2" t="s">
        <v>342</v>
      </c>
      <c r="F24" s="2" t="s">
        <v>343</v>
      </c>
      <c r="G24" s="2" t="s">
        <v>344</v>
      </c>
      <c r="H24" s="2" t="s">
        <v>234</v>
      </c>
      <c r="I24" s="2" t="s">
        <v>227</v>
      </c>
      <c r="J24" s="2" t="s">
        <v>117</v>
      </c>
      <c r="K24" s="2"/>
      <c r="L24" s="2" t="s">
        <v>263</v>
      </c>
      <c r="M24" s="2"/>
    </row>
    <row r="25" spans="1:13" ht="27.6">
      <c r="A25" s="2" t="s">
        <v>345</v>
      </c>
      <c r="B25" s="2" t="s">
        <v>179</v>
      </c>
      <c r="C25" s="2" t="s">
        <v>221</v>
      </c>
      <c r="D25" s="2" t="s">
        <v>346</v>
      </c>
      <c r="E25" s="2" t="s">
        <v>347</v>
      </c>
      <c r="F25" s="2" t="s">
        <v>348</v>
      </c>
      <c r="G25" s="2" t="s">
        <v>349</v>
      </c>
      <c r="H25" s="2" t="s">
        <v>234</v>
      </c>
      <c r="I25" s="2" t="s">
        <v>227</v>
      </c>
      <c r="J25" s="2" t="s">
        <v>117</v>
      </c>
      <c r="K25" s="2"/>
      <c r="L25" s="2" t="s">
        <v>240</v>
      </c>
      <c r="M25" s="2"/>
    </row>
    <row r="26" spans="1:13">
      <c r="A26" s="2" t="s">
        <v>350</v>
      </c>
      <c r="B26" s="2" t="s">
        <v>179</v>
      </c>
      <c r="C26" s="2" t="s">
        <v>281</v>
      </c>
      <c r="D26" s="2" t="s">
        <v>351</v>
      </c>
      <c r="E26" s="2" t="s">
        <v>352</v>
      </c>
      <c r="F26" s="2" t="s">
        <v>353</v>
      </c>
      <c r="G26" s="2" t="s">
        <v>354</v>
      </c>
      <c r="H26" s="2" t="s">
        <v>234</v>
      </c>
      <c r="I26" s="2" t="s">
        <v>227</v>
      </c>
      <c r="J26" s="2" t="s">
        <v>117</v>
      </c>
      <c r="K26" s="2"/>
      <c r="L26" s="2" t="s">
        <v>263</v>
      </c>
      <c r="M26" s="2"/>
    </row>
    <row r="27" spans="1:13" ht="27.6">
      <c r="A27" s="2" t="s">
        <v>355</v>
      </c>
      <c r="B27" s="2" t="s">
        <v>179</v>
      </c>
      <c r="C27" s="2" t="s">
        <v>281</v>
      </c>
      <c r="D27" s="2" t="s">
        <v>356</v>
      </c>
      <c r="E27" s="2" t="s">
        <v>357</v>
      </c>
      <c r="F27" s="2" t="s">
        <v>358</v>
      </c>
      <c r="G27" s="2" t="s">
        <v>359</v>
      </c>
      <c r="H27" s="2" t="s">
        <v>234</v>
      </c>
      <c r="I27" s="2" t="s">
        <v>227</v>
      </c>
      <c r="J27" s="2" t="s">
        <v>117</v>
      </c>
      <c r="K27" s="2"/>
      <c r="L27" s="2" t="s">
        <v>360</v>
      </c>
      <c r="M27" s="2"/>
    </row>
    <row r="28" spans="1:13">
      <c r="A28" s="2" t="s">
        <v>361</v>
      </c>
      <c r="B28" s="2" t="s">
        <v>179</v>
      </c>
      <c r="C28" s="2" t="s">
        <v>281</v>
      </c>
      <c r="D28" s="2" t="s">
        <v>362</v>
      </c>
      <c r="E28" s="2" t="s">
        <v>363</v>
      </c>
      <c r="F28" s="2" t="s">
        <v>364</v>
      </c>
      <c r="G28" s="2" t="s">
        <v>365</v>
      </c>
      <c r="H28" s="2" t="s">
        <v>234</v>
      </c>
      <c r="I28" s="2" t="s">
        <v>227</v>
      </c>
      <c r="J28" s="2" t="s">
        <v>117</v>
      </c>
      <c r="K28" s="2"/>
      <c r="L28" s="2" t="s">
        <v>263</v>
      </c>
      <c r="M28" s="2"/>
    </row>
    <row r="29" spans="1:13">
      <c r="A29" s="2" t="s">
        <v>366</v>
      </c>
      <c r="B29" s="2" t="s">
        <v>184</v>
      </c>
      <c r="C29" s="2" t="s">
        <v>221</v>
      </c>
      <c r="D29" s="2" t="s">
        <v>367</v>
      </c>
      <c r="E29" s="2" t="s">
        <v>223</v>
      </c>
      <c r="F29" s="2" t="s">
        <v>368</v>
      </c>
      <c r="G29" s="2" t="s">
        <v>369</v>
      </c>
      <c r="H29" s="2" t="s">
        <v>226</v>
      </c>
      <c r="I29" s="2" t="s">
        <v>227</v>
      </c>
      <c r="J29" s="2" t="s">
        <v>117</v>
      </c>
      <c r="K29" s="2"/>
      <c r="L29" s="2" t="s">
        <v>228</v>
      </c>
      <c r="M29" s="2"/>
    </row>
    <row r="30" spans="1:13">
      <c r="A30" s="2" t="s">
        <v>370</v>
      </c>
      <c r="B30" s="2" t="s">
        <v>184</v>
      </c>
      <c r="C30" s="2" t="s">
        <v>221</v>
      </c>
      <c r="D30" s="2" t="s">
        <v>371</v>
      </c>
      <c r="E30" s="2" t="s">
        <v>372</v>
      </c>
      <c r="F30" s="2" t="s">
        <v>373</v>
      </c>
      <c r="G30" s="2" t="s">
        <v>374</v>
      </c>
      <c r="H30" s="2" t="s">
        <v>273</v>
      </c>
      <c r="I30" s="2" t="s">
        <v>227</v>
      </c>
      <c r="J30" s="2" t="s">
        <v>117</v>
      </c>
      <c r="K30" s="2"/>
      <c r="L30" s="2" t="s">
        <v>228</v>
      </c>
      <c r="M30" s="2"/>
    </row>
    <row r="31" spans="1:13">
      <c r="A31" s="2" t="s">
        <v>375</v>
      </c>
      <c r="B31" s="2" t="s">
        <v>184</v>
      </c>
      <c r="C31" s="2" t="s">
        <v>221</v>
      </c>
      <c r="D31" s="2" t="s">
        <v>376</v>
      </c>
      <c r="E31" s="2" t="s">
        <v>377</v>
      </c>
      <c r="F31" s="2" t="s">
        <v>378</v>
      </c>
      <c r="G31" s="2" t="s">
        <v>379</v>
      </c>
      <c r="H31" s="2" t="s">
        <v>273</v>
      </c>
      <c r="I31" s="2" t="s">
        <v>227</v>
      </c>
      <c r="J31" s="2" t="s">
        <v>117</v>
      </c>
      <c r="K31" s="2"/>
      <c r="L31" s="2" t="s">
        <v>263</v>
      </c>
      <c r="M31" s="2"/>
    </row>
    <row r="32" spans="1:13">
      <c r="A32" s="2" t="s">
        <v>380</v>
      </c>
      <c r="B32" s="2" t="s">
        <v>184</v>
      </c>
      <c r="C32" s="2" t="s">
        <v>281</v>
      </c>
      <c r="D32" s="2" t="s">
        <v>381</v>
      </c>
      <c r="E32" s="2" t="s">
        <v>377</v>
      </c>
      <c r="F32" s="2" t="s">
        <v>382</v>
      </c>
      <c r="G32" s="2" t="s">
        <v>383</v>
      </c>
      <c r="H32" s="2" t="s">
        <v>234</v>
      </c>
      <c r="I32" s="2" t="s">
        <v>227</v>
      </c>
      <c r="J32" s="2" t="s">
        <v>117</v>
      </c>
      <c r="K32" s="2"/>
      <c r="L32" s="2" t="s">
        <v>263</v>
      </c>
      <c r="M32" s="2"/>
    </row>
    <row r="33" spans="1:13">
      <c r="A33" s="2" t="s">
        <v>384</v>
      </c>
      <c r="B33" s="2" t="s">
        <v>184</v>
      </c>
      <c r="C33" s="2" t="s">
        <v>221</v>
      </c>
      <c r="D33" s="2" t="s">
        <v>385</v>
      </c>
      <c r="E33" s="2" t="s">
        <v>372</v>
      </c>
      <c r="F33" s="2" t="s">
        <v>386</v>
      </c>
      <c r="G33" s="2" t="s">
        <v>387</v>
      </c>
      <c r="H33" s="2" t="s">
        <v>234</v>
      </c>
      <c r="I33" s="2" t="s">
        <v>227</v>
      </c>
      <c r="J33" s="2" t="s">
        <v>117</v>
      </c>
      <c r="K33" s="2"/>
      <c r="L33" s="2" t="s">
        <v>263</v>
      </c>
      <c r="M33" s="2"/>
    </row>
    <row r="34" spans="1:13">
      <c r="A34" s="2" t="s">
        <v>388</v>
      </c>
      <c r="B34" s="2" t="s">
        <v>184</v>
      </c>
      <c r="C34" s="2" t="s">
        <v>221</v>
      </c>
      <c r="D34" s="2" t="s">
        <v>389</v>
      </c>
      <c r="E34" s="2" t="s">
        <v>390</v>
      </c>
      <c r="F34" s="2" t="s">
        <v>391</v>
      </c>
      <c r="G34" s="2" t="s">
        <v>392</v>
      </c>
      <c r="H34" s="2" t="s">
        <v>252</v>
      </c>
      <c r="I34" s="2" t="s">
        <v>227</v>
      </c>
      <c r="J34" s="2" t="s">
        <v>117</v>
      </c>
      <c r="K34" s="2"/>
      <c r="L34" s="2" t="s">
        <v>240</v>
      </c>
      <c r="M34" s="2"/>
    </row>
    <row r="35" spans="1:13">
      <c r="A35" s="2" t="s">
        <v>393</v>
      </c>
      <c r="B35" s="2" t="s">
        <v>184</v>
      </c>
      <c r="C35" s="2" t="s">
        <v>281</v>
      </c>
      <c r="D35" s="2" t="s">
        <v>394</v>
      </c>
      <c r="E35" s="2" t="s">
        <v>395</v>
      </c>
      <c r="F35" s="2" t="s">
        <v>396</v>
      </c>
      <c r="G35" s="2" t="s">
        <v>397</v>
      </c>
      <c r="H35" s="2" t="s">
        <v>234</v>
      </c>
      <c r="I35" s="2" t="s">
        <v>227</v>
      </c>
      <c r="J35" s="2" t="s">
        <v>117</v>
      </c>
      <c r="K35" s="2"/>
      <c r="L35" s="2" t="s">
        <v>263</v>
      </c>
      <c r="M35" s="2"/>
    </row>
    <row r="36" spans="1:13">
      <c r="A36" s="2" t="s">
        <v>398</v>
      </c>
      <c r="B36" s="2" t="s">
        <v>184</v>
      </c>
      <c r="C36" s="2" t="s">
        <v>281</v>
      </c>
      <c r="D36" s="2" t="s">
        <v>399</v>
      </c>
      <c r="E36" s="2" t="s">
        <v>400</v>
      </c>
      <c r="F36" s="2" t="s">
        <v>401</v>
      </c>
      <c r="G36" s="2" t="s">
        <v>402</v>
      </c>
      <c r="H36" s="2" t="s">
        <v>234</v>
      </c>
      <c r="I36" s="2" t="s">
        <v>227</v>
      </c>
      <c r="J36" s="2" t="s">
        <v>117</v>
      </c>
      <c r="K36" s="2"/>
      <c r="L36" s="2" t="s">
        <v>360</v>
      </c>
      <c r="M36" s="2"/>
    </row>
    <row r="37" spans="1:13">
      <c r="A37" s="2" t="s">
        <v>403</v>
      </c>
      <c r="B37" s="2" t="s">
        <v>184</v>
      </c>
      <c r="C37" s="2" t="s">
        <v>281</v>
      </c>
      <c r="D37" s="2" t="s">
        <v>404</v>
      </c>
      <c r="E37" s="2" t="s">
        <v>405</v>
      </c>
      <c r="F37" s="2" t="s">
        <v>406</v>
      </c>
      <c r="G37" s="2" t="s">
        <v>407</v>
      </c>
      <c r="H37" s="2" t="s">
        <v>234</v>
      </c>
      <c r="I37" s="2" t="s">
        <v>227</v>
      </c>
      <c r="J37" s="2" t="s">
        <v>117</v>
      </c>
      <c r="K37" s="2"/>
      <c r="L37" s="2" t="s">
        <v>240</v>
      </c>
      <c r="M37" s="2"/>
    </row>
    <row r="38" spans="1:13">
      <c r="A38" s="2" t="s">
        <v>408</v>
      </c>
      <c r="B38" s="2" t="s">
        <v>189</v>
      </c>
      <c r="C38" s="2" t="s">
        <v>221</v>
      </c>
      <c r="D38" s="2" t="s">
        <v>409</v>
      </c>
      <c r="E38" s="2" t="s">
        <v>223</v>
      </c>
      <c r="F38" s="2" t="s">
        <v>410</v>
      </c>
      <c r="G38" s="2" t="s">
        <v>411</v>
      </c>
      <c r="H38" s="2" t="s">
        <v>226</v>
      </c>
      <c r="I38" s="2" t="s">
        <v>227</v>
      </c>
      <c r="J38" s="2" t="s">
        <v>117</v>
      </c>
      <c r="K38" s="2"/>
      <c r="L38" s="2" t="s">
        <v>228</v>
      </c>
      <c r="M38" s="2"/>
    </row>
    <row r="39" spans="1:13" ht="27.6">
      <c r="A39" s="2" t="s">
        <v>412</v>
      </c>
      <c r="B39" s="2" t="s">
        <v>189</v>
      </c>
      <c r="C39" s="2" t="s">
        <v>221</v>
      </c>
      <c r="D39" s="2" t="s">
        <v>413</v>
      </c>
      <c r="E39" s="2" t="s">
        <v>414</v>
      </c>
      <c r="F39" s="2" t="s">
        <v>415</v>
      </c>
      <c r="G39" s="2" t="s">
        <v>416</v>
      </c>
      <c r="H39" s="2" t="s">
        <v>234</v>
      </c>
      <c r="I39" s="2" t="s">
        <v>227</v>
      </c>
      <c r="J39" s="2" t="s">
        <v>117</v>
      </c>
      <c r="K39" s="2"/>
      <c r="L39" s="2" t="s">
        <v>228</v>
      </c>
      <c r="M39" s="2"/>
    </row>
    <row r="40" spans="1:13" ht="27.6">
      <c r="A40" s="2" t="s">
        <v>417</v>
      </c>
      <c r="B40" s="2" t="s">
        <v>189</v>
      </c>
      <c r="C40" s="2" t="s">
        <v>221</v>
      </c>
      <c r="D40" s="2" t="s">
        <v>418</v>
      </c>
      <c r="E40" s="2" t="s">
        <v>419</v>
      </c>
      <c r="F40" s="2" t="s">
        <v>420</v>
      </c>
      <c r="G40" s="2" t="s">
        <v>421</v>
      </c>
      <c r="H40" s="2" t="s">
        <v>252</v>
      </c>
      <c r="I40" s="2" t="s">
        <v>227</v>
      </c>
      <c r="J40" s="2" t="s">
        <v>117</v>
      </c>
      <c r="K40" s="2"/>
      <c r="L40" s="2" t="s">
        <v>240</v>
      </c>
      <c r="M40" s="2"/>
    </row>
    <row r="41" spans="1:13" ht="27.6">
      <c r="A41" s="2" t="s">
        <v>422</v>
      </c>
      <c r="B41" s="2" t="s">
        <v>189</v>
      </c>
      <c r="C41" s="2" t="s">
        <v>221</v>
      </c>
      <c r="D41" s="2" t="s">
        <v>423</v>
      </c>
      <c r="E41" s="2" t="s">
        <v>424</v>
      </c>
      <c r="F41" s="2" t="s">
        <v>425</v>
      </c>
      <c r="G41" s="2" t="s">
        <v>426</v>
      </c>
      <c r="H41" s="2" t="s">
        <v>252</v>
      </c>
      <c r="I41" s="2" t="s">
        <v>227</v>
      </c>
      <c r="J41" s="2" t="s">
        <v>117</v>
      </c>
      <c r="K41" s="2"/>
      <c r="L41" s="2" t="s">
        <v>240</v>
      </c>
      <c r="M41" s="2"/>
    </row>
    <row r="42" spans="1:13">
      <c r="A42" s="2" t="s">
        <v>427</v>
      </c>
      <c r="B42" s="2" t="s">
        <v>189</v>
      </c>
      <c r="C42" s="2" t="s">
        <v>221</v>
      </c>
      <c r="D42" s="2" t="s">
        <v>428</v>
      </c>
      <c r="E42" s="2" t="s">
        <v>429</v>
      </c>
      <c r="F42" s="2" t="s">
        <v>430</v>
      </c>
      <c r="G42" s="2" t="s">
        <v>431</v>
      </c>
      <c r="H42" s="2" t="s">
        <v>252</v>
      </c>
      <c r="I42" s="2" t="s">
        <v>227</v>
      </c>
      <c r="J42" s="2" t="s">
        <v>117</v>
      </c>
      <c r="K42" s="2"/>
      <c r="L42" s="2" t="s">
        <v>240</v>
      </c>
      <c r="M42" s="2"/>
    </row>
    <row r="43" spans="1:13">
      <c r="A43" s="2" t="s">
        <v>432</v>
      </c>
      <c r="B43" s="2" t="s">
        <v>189</v>
      </c>
      <c r="C43" s="2" t="s">
        <v>221</v>
      </c>
      <c r="D43" s="2" t="s">
        <v>433</v>
      </c>
      <c r="E43" s="2" t="s">
        <v>434</v>
      </c>
      <c r="F43" s="2" t="s">
        <v>435</v>
      </c>
      <c r="G43" s="2" t="s">
        <v>436</v>
      </c>
      <c r="H43" s="2" t="s">
        <v>252</v>
      </c>
      <c r="I43" s="2" t="s">
        <v>227</v>
      </c>
      <c r="J43" s="2" t="s">
        <v>117</v>
      </c>
      <c r="K43" s="2"/>
      <c r="L43" s="2" t="s">
        <v>263</v>
      </c>
      <c r="M43" s="2"/>
    </row>
    <row r="44" spans="1:13" ht="27.6">
      <c r="A44" s="2" t="s">
        <v>437</v>
      </c>
      <c r="B44" s="2" t="s">
        <v>189</v>
      </c>
      <c r="C44" s="2" t="s">
        <v>221</v>
      </c>
      <c r="D44" s="2" t="s">
        <v>438</v>
      </c>
      <c r="E44" s="2" t="s">
        <v>439</v>
      </c>
      <c r="F44" s="2" t="s">
        <v>440</v>
      </c>
      <c r="G44" s="2" t="s">
        <v>441</v>
      </c>
      <c r="H44" s="2" t="s">
        <v>252</v>
      </c>
      <c r="I44" s="2" t="s">
        <v>227</v>
      </c>
      <c r="J44" s="2" t="s">
        <v>117</v>
      </c>
      <c r="K44" s="2"/>
      <c r="L44" s="2" t="s">
        <v>263</v>
      </c>
      <c r="M44" s="2"/>
    </row>
    <row r="45" spans="1:13" ht="27.6">
      <c r="A45" s="2" t="s">
        <v>442</v>
      </c>
      <c r="B45" s="2" t="s">
        <v>189</v>
      </c>
      <c r="C45" s="2" t="s">
        <v>281</v>
      </c>
      <c r="D45" s="2" t="s">
        <v>443</v>
      </c>
      <c r="E45" s="2" t="s">
        <v>444</v>
      </c>
      <c r="F45" s="2" t="s">
        <v>445</v>
      </c>
      <c r="G45" s="2" t="s">
        <v>446</v>
      </c>
      <c r="H45" s="2" t="s">
        <v>234</v>
      </c>
      <c r="I45" s="2" t="s">
        <v>227</v>
      </c>
      <c r="J45" s="2" t="s">
        <v>117</v>
      </c>
      <c r="K45" s="2"/>
      <c r="L45" s="2" t="s">
        <v>240</v>
      </c>
      <c r="M45" s="2"/>
    </row>
    <row r="46" spans="1:13">
      <c r="A46" s="2" t="s">
        <v>447</v>
      </c>
      <c r="B46" s="2" t="s">
        <v>189</v>
      </c>
      <c r="C46" s="2" t="s">
        <v>281</v>
      </c>
      <c r="D46" s="2" t="s">
        <v>448</v>
      </c>
      <c r="E46" s="2" t="s">
        <v>449</v>
      </c>
      <c r="F46" s="2" t="s">
        <v>450</v>
      </c>
      <c r="G46" s="2" t="s">
        <v>451</v>
      </c>
      <c r="H46" s="2" t="s">
        <v>234</v>
      </c>
      <c r="I46" s="2" t="s">
        <v>227</v>
      </c>
      <c r="J46" s="2" t="s">
        <v>117</v>
      </c>
      <c r="K46" s="2"/>
      <c r="L46" s="2" t="s">
        <v>263</v>
      </c>
      <c r="M46" s="2"/>
    </row>
    <row r="47" spans="1:13">
      <c r="A47" s="2" t="s">
        <v>452</v>
      </c>
      <c r="B47" s="2" t="s">
        <v>194</v>
      </c>
      <c r="C47" s="2" t="s">
        <v>221</v>
      </c>
      <c r="D47" s="2" t="s">
        <v>367</v>
      </c>
      <c r="E47" s="2" t="s">
        <v>223</v>
      </c>
      <c r="F47" s="2" t="s">
        <v>453</v>
      </c>
      <c r="G47" s="2" t="s">
        <v>454</v>
      </c>
      <c r="H47" s="2" t="s">
        <v>226</v>
      </c>
      <c r="I47" s="2" t="s">
        <v>227</v>
      </c>
      <c r="J47" s="2" t="s">
        <v>117</v>
      </c>
      <c r="K47" s="2"/>
      <c r="L47" s="2" t="s">
        <v>228</v>
      </c>
      <c r="M47" s="2"/>
    </row>
    <row r="48" spans="1:13">
      <c r="A48" s="2" t="s">
        <v>455</v>
      </c>
      <c r="B48" s="2" t="s">
        <v>194</v>
      </c>
      <c r="C48" s="2" t="s">
        <v>221</v>
      </c>
      <c r="D48" s="2" t="s">
        <v>456</v>
      </c>
      <c r="E48" s="2" t="s">
        <v>457</v>
      </c>
      <c r="F48" s="2" t="s">
        <v>458</v>
      </c>
      <c r="G48" s="2" t="s">
        <v>459</v>
      </c>
      <c r="H48" s="2" t="s">
        <v>234</v>
      </c>
      <c r="I48" s="2" t="s">
        <v>227</v>
      </c>
      <c r="J48" s="2" t="s">
        <v>117</v>
      </c>
      <c r="K48" s="2"/>
      <c r="L48" s="2" t="s">
        <v>240</v>
      </c>
      <c r="M48" s="2"/>
    </row>
    <row r="49" spans="1:13">
      <c r="A49" s="2" t="s">
        <v>460</v>
      </c>
      <c r="B49" s="2" t="s">
        <v>194</v>
      </c>
      <c r="C49" s="2" t="s">
        <v>221</v>
      </c>
      <c r="D49" s="2" t="s">
        <v>461</v>
      </c>
      <c r="E49" s="2" t="s">
        <v>462</v>
      </c>
      <c r="F49" s="2" t="s">
        <v>463</v>
      </c>
      <c r="G49" s="2" t="s">
        <v>464</v>
      </c>
      <c r="H49" s="2" t="s">
        <v>273</v>
      </c>
      <c r="I49" s="2" t="s">
        <v>227</v>
      </c>
      <c r="J49" s="2" t="s">
        <v>117</v>
      </c>
      <c r="K49" s="2"/>
      <c r="L49" s="2" t="s">
        <v>240</v>
      </c>
      <c r="M49" s="2"/>
    </row>
    <row r="50" spans="1:13">
      <c r="A50" s="2" t="s">
        <v>465</v>
      </c>
      <c r="B50" s="2" t="s">
        <v>194</v>
      </c>
      <c r="C50" s="2" t="s">
        <v>221</v>
      </c>
      <c r="D50" s="2" t="s">
        <v>466</v>
      </c>
      <c r="E50" s="2" t="s">
        <v>467</v>
      </c>
      <c r="F50" s="2" t="s">
        <v>468</v>
      </c>
      <c r="G50" s="2" t="s">
        <v>469</v>
      </c>
      <c r="H50" s="2" t="s">
        <v>273</v>
      </c>
      <c r="I50" s="2" t="s">
        <v>227</v>
      </c>
      <c r="J50" s="2" t="s">
        <v>117</v>
      </c>
      <c r="K50" s="2"/>
      <c r="L50" s="2" t="s">
        <v>228</v>
      </c>
      <c r="M50" s="2"/>
    </row>
    <row r="51" spans="1:13">
      <c r="A51" s="2" t="s">
        <v>470</v>
      </c>
      <c r="B51" s="2" t="s">
        <v>194</v>
      </c>
      <c r="C51" s="2" t="s">
        <v>221</v>
      </c>
      <c r="D51" s="2" t="s">
        <v>471</v>
      </c>
      <c r="E51" s="2" t="s">
        <v>472</v>
      </c>
      <c r="F51" s="2" t="s">
        <v>473</v>
      </c>
      <c r="G51" s="2" t="s">
        <v>474</v>
      </c>
      <c r="H51" s="2" t="s">
        <v>273</v>
      </c>
      <c r="I51" s="2" t="s">
        <v>227</v>
      </c>
      <c r="J51" s="2" t="s">
        <v>117</v>
      </c>
      <c r="K51" s="2"/>
      <c r="L51" s="2" t="s">
        <v>228</v>
      </c>
      <c r="M51" s="2"/>
    </row>
    <row r="52" spans="1:13">
      <c r="A52" s="2" t="s">
        <v>475</v>
      </c>
      <c r="B52" s="2" t="s">
        <v>194</v>
      </c>
      <c r="C52" s="2" t="s">
        <v>281</v>
      </c>
      <c r="D52" s="2" t="s">
        <v>476</v>
      </c>
      <c r="E52" s="2" t="s">
        <v>477</v>
      </c>
      <c r="F52" s="2" t="s">
        <v>478</v>
      </c>
      <c r="G52" s="2" t="s">
        <v>479</v>
      </c>
      <c r="H52" s="2" t="s">
        <v>234</v>
      </c>
      <c r="I52" s="2" t="s">
        <v>227</v>
      </c>
      <c r="J52" s="2" t="s">
        <v>117</v>
      </c>
      <c r="K52" s="2"/>
      <c r="L52" s="2" t="s">
        <v>263</v>
      </c>
      <c r="M52" s="2"/>
    </row>
    <row r="53" spans="1:13">
      <c r="A53" s="2" t="s">
        <v>480</v>
      </c>
      <c r="B53" s="2" t="s">
        <v>194</v>
      </c>
      <c r="C53" s="2" t="s">
        <v>221</v>
      </c>
      <c r="D53" s="2" t="s">
        <v>481</v>
      </c>
      <c r="E53" s="2" t="s">
        <v>482</v>
      </c>
      <c r="F53" s="2" t="s">
        <v>483</v>
      </c>
      <c r="G53" s="2" t="s">
        <v>484</v>
      </c>
      <c r="H53" s="2" t="s">
        <v>234</v>
      </c>
      <c r="I53" s="2" t="s">
        <v>227</v>
      </c>
      <c r="J53" s="2" t="s">
        <v>117</v>
      </c>
      <c r="K53" s="2"/>
      <c r="L53" s="2" t="s">
        <v>263</v>
      </c>
      <c r="M53" s="2"/>
    </row>
    <row r="54" spans="1:13" ht="27.6">
      <c r="A54" s="2" t="s">
        <v>485</v>
      </c>
      <c r="B54" s="2" t="s">
        <v>194</v>
      </c>
      <c r="C54" s="2" t="s">
        <v>221</v>
      </c>
      <c r="D54" s="2" t="s">
        <v>486</v>
      </c>
      <c r="E54" s="2" t="s">
        <v>487</v>
      </c>
      <c r="F54" s="2" t="s">
        <v>488</v>
      </c>
      <c r="G54" s="2" t="s">
        <v>489</v>
      </c>
      <c r="H54" s="2" t="s">
        <v>234</v>
      </c>
      <c r="I54" s="2" t="s">
        <v>227</v>
      </c>
      <c r="J54" s="2" t="s">
        <v>117</v>
      </c>
      <c r="K54" s="2"/>
      <c r="L54" s="2" t="s">
        <v>240</v>
      </c>
      <c r="M54" s="2"/>
    </row>
    <row r="55" spans="1:13">
      <c r="A55" s="2" t="s">
        <v>490</v>
      </c>
      <c r="B55" s="2" t="s">
        <v>194</v>
      </c>
      <c r="C55" s="2" t="s">
        <v>281</v>
      </c>
      <c r="D55" s="2" t="s">
        <v>491</v>
      </c>
      <c r="E55" s="2" t="s">
        <v>492</v>
      </c>
      <c r="F55" s="2" t="s">
        <v>493</v>
      </c>
      <c r="G55" s="2" t="s">
        <v>494</v>
      </c>
      <c r="H55" s="2" t="s">
        <v>234</v>
      </c>
      <c r="I55" s="2" t="s">
        <v>227</v>
      </c>
      <c r="J55" s="2" t="s">
        <v>117</v>
      </c>
      <c r="K55" s="2"/>
      <c r="L55" s="2" t="s">
        <v>263</v>
      </c>
      <c r="M55" s="2"/>
    </row>
    <row r="56" spans="1:13">
      <c r="A56" s="2" t="s">
        <v>495</v>
      </c>
      <c r="B56" s="2" t="s">
        <v>194</v>
      </c>
      <c r="C56" s="2" t="s">
        <v>281</v>
      </c>
      <c r="D56" s="2" t="s">
        <v>496</v>
      </c>
      <c r="E56" s="2" t="s">
        <v>497</v>
      </c>
      <c r="F56" s="2" t="s">
        <v>498</v>
      </c>
      <c r="G56" s="2" t="s">
        <v>499</v>
      </c>
      <c r="H56" s="2" t="s">
        <v>234</v>
      </c>
      <c r="I56" s="2" t="s">
        <v>227</v>
      </c>
      <c r="J56" s="2" t="s">
        <v>117</v>
      </c>
      <c r="K56" s="2"/>
      <c r="L56" s="2" t="s">
        <v>263</v>
      </c>
      <c r="M56" s="2"/>
    </row>
    <row r="57" spans="1:13">
      <c r="A57" s="2" t="s">
        <v>500</v>
      </c>
      <c r="B57" s="2" t="s">
        <v>199</v>
      </c>
      <c r="C57" s="2" t="s">
        <v>221</v>
      </c>
      <c r="D57" s="2" t="s">
        <v>501</v>
      </c>
      <c r="E57" s="2" t="s">
        <v>502</v>
      </c>
      <c r="F57" s="2" t="s">
        <v>503</v>
      </c>
      <c r="G57" s="2" t="s">
        <v>504</v>
      </c>
      <c r="H57" s="2" t="s">
        <v>234</v>
      </c>
      <c r="I57" s="2" t="s">
        <v>227</v>
      </c>
      <c r="J57" s="2" t="s">
        <v>117</v>
      </c>
      <c r="K57" s="2"/>
      <c r="L57" s="2" t="s">
        <v>240</v>
      </c>
      <c r="M57" s="2"/>
    </row>
    <row r="58" spans="1:13">
      <c r="A58" s="2" t="s">
        <v>505</v>
      </c>
      <c r="B58" s="2" t="s">
        <v>199</v>
      </c>
      <c r="C58" s="2" t="s">
        <v>221</v>
      </c>
      <c r="D58" s="2" t="s">
        <v>506</v>
      </c>
      <c r="E58" s="2" t="s">
        <v>507</v>
      </c>
      <c r="F58" s="2" t="s">
        <v>508</v>
      </c>
      <c r="G58" s="2" t="s">
        <v>509</v>
      </c>
      <c r="H58" s="2" t="s">
        <v>252</v>
      </c>
      <c r="I58" s="2" t="s">
        <v>227</v>
      </c>
      <c r="J58" s="2" t="s">
        <v>117</v>
      </c>
      <c r="K58" s="2"/>
      <c r="L58" s="2" t="s">
        <v>228</v>
      </c>
      <c r="M58" s="2"/>
    </row>
    <row r="59" spans="1:13">
      <c r="A59" s="2" t="s">
        <v>510</v>
      </c>
      <c r="B59" s="2" t="s">
        <v>199</v>
      </c>
      <c r="C59" s="2" t="s">
        <v>221</v>
      </c>
      <c r="D59" s="2" t="s">
        <v>511</v>
      </c>
      <c r="E59" s="2" t="s">
        <v>512</v>
      </c>
      <c r="F59" s="2" t="s">
        <v>513</v>
      </c>
      <c r="G59" s="2" t="s">
        <v>514</v>
      </c>
      <c r="H59" s="2" t="s">
        <v>234</v>
      </c>
      <c r="I59" s="2" t="s">
        <v>227</v>
      </c>
      <c r="J59" s="2" t="s">
        <v>117</v>
      </c>
      <c r="K59" s="2"/>
      <c r="L59" s="2" t="s">
        <v>240</v>
      </c>
      <c r="M59" s="2"/>
    </row>
    <row r="60" spans="1:13">
      <c r="A60" s="2" t="s">
        <v>515</v>
      </c>
      <c r="B60" s="2" t="s">
        <v>199</v>
      </c>
      <c r="C60" s="2" t="s">
        <v>221</v>
      </c>
      <c r="D60" s="2" t="s">
        <v>516</v>
      </c>
      <c r="E60" s="2" t="s">
        <v>517</v>
      </c>
      <c r="F60" s="2" t="s">
        <v>518</v>
      </c>
      <c r="G60" s="2" t="s">
        <v>519</v>
      </c>
      <c r="H60" s="2" t="s">
        <v>273</v>
      </c>
      <c r="I60" s="2" t="s">
        <v>227</v>
      </c>
      <c r="J60" s="2" t="s">
        <v>117</v>
      </c>
      <c r="K60" s="2"/>
      <c r="L60" s="2" t="s">
        <v>228</v>
      </c>
      <c r="M60" s="2"/>
    </row>
    <row r="61" spans="1:13">
      <c r="A61" s="2" t="s">
        <v>520</v>
      </c>
      <c r="B61" s="2" t="s">
        <v>199</v>
      </c>
      <c r="C61" s="2" t="s">
        <v>221</v>
      </c>
      <c r="D61" s="2" t="s">
        <v>521</v>
      </c>
      <c r="E61" s="2" t="s">
        <v>522</v>
      </c>
      <c r="F61" s="2" t="s">
        <v>523</v>
      </c>
      <c r="G61" s="2" t="s">
        <v>524</v>
      </c>
      <c r="H61" s="2" t="s">
        <v>273</v>
      </c>
      <c r="I61" s="2" t="s">
        <v>227</v>
      </c>
      <c r="J61" s="2" t="s">
        <v>117</v>
      </c>
      <c r="K61" s="2"/>
      <c r="L61" s="2" t="s">
        <v>263</v>
      </c>
      <c r="M61" s="2"/>
    </row>
    <row r="62" spans="1:13">
      <c r="A62" s="2" t="s">
        <v>525</v>
      </c>
      <c r="B62" s="2" t="s">
        <v>199</v>
      </c>
      <c r="C62" s="2" t="s">
        <v>221</v>
      </c>
      <c r="D62" s="2" t="s">
        <v>526</v>
      </c>
      <c r="E62" s="2" t="s">
        <v>527</v>
      </c>
      <c r="F62" s="2" t="s">
        <v>518</v>
      </c>
      <c r="G62" s="2" t="s">
        <v>528</v>
      </c>
      <c r="H62" s="2" t="s">
        <v>252</v>
      </c>
      <c r="I62" s="2" t="s">
        <v>227</v>
      </c>
      <c r="J62" s="2" t="s">
        <v>117</v>
      </c>
      <c r="K62" s="2"/>
      <c r="L62" s="2" t="s">
        <v>228</v>
      </c>
      <c r="M62" s="2"/>
    </row>
    <row r="63" spans="1:13">
      <c r="A63" s="2" t="s">
        <v>529</v>
      </c>
      <c r="B63" s="2" t="s">
        <v>199</v>
      </c>
      <c r="C63" s="2" t="s">
        <v>281</v>
      </c>
      <c r="D63" s="2" t="s">
        <v>530</v>
      </c>
      <c r="E63" s="2" t="s">
        <v>531</v>
      </c>
      <c r="F63" s="2" t="s">
        <v>532</v>
      </c>
      <c r="G63" s="2" t="s">
        <v>533</v>
      </c>
      <c r="H63" s="2" t="s">
        <v>234</v>
      </c>
      <c r="I63" s="2" t="s">
        <v>227</v>
      </c>
      <c r="J63" s="2" t="s">
        <v>117</v>
      </c>
      <c r="K63" s="2"/>
      <c r="L63" s="2" t="s">
        <v>263</v>
      </c>
      <c r="M63" s="2"/>
    </row>
    <row r="64" spans="1:13" ht="27.6">
      <c r="A64" s="2" t="s">
        <v>534</v>
      </c>
      <c r="B64" s="2" t="s">
        <v>199</v>
      </c>
      <c r="C64" s="2" t="s">
        <v>535</v>
      </c>
      <c r="D64" s="2" t="s">
        <v>536</v>
      </c>
      <c r="E64" s="2" t="s">
        <v>537</v>
      </c>
      <c r="F64" s="2" t="s">
        <v>538</v>
      </c>
      <c r="G64" s="2" t="s">
        <v>539</v>
      </c>
      <c r="H64" s="2" t="s">
        <v>540</v>
      </c>
      <c r="I64" s="2" t="s">
        <v>58</v>
      </c>
      <c r="J64" s="2" t="s">
        <v>117</v>
      </c>
      <c r="K64" s="2"/>
      <c r="L64" s="2" t="s">
        <v>240</v>
      </c>
      <c r="M64" s="2"/>
    </row>
    <row r="65" spans="1:13" ht="27.6">
      <c r="A65" s="2" t="s">
        <v>541</v>
      </c>
      <c r="B65" s="2" t="s">
        <v>199</v>
      </c>
      <c r="C65" s="2" t="s">
        <v>281</v>
      </c>
      <c r="D65" s="2" t="s">
        <v>542</v>
      </c>
      <c r="E65" s="2" t="s">
        <v>543</v>
      </c>
      <c r="F65" s="2" t="s">
        <v>518</v>
      </c>
      <c r="G65" s="2" t="s">
        <v>544</v>
      </c>
      <c r="H65" s="2" t="s">
        <v>234</v>
      </c>
      <c r="I65" s="2" t="s">
        <v>58</v>
      </c>
      <c r="J65" s="2" t="s">
        <v>117</v>
      </c>
      <c r="K65" s="2"/>
      <c r="L65" s="2" t="s">
        <v>263</v>
      </c>
      <c r="M65" s="2"/>
    </row>
    <row r="66" spans="1:13">
      <c r="A66" s="2" t="s">
        <v>545</v>
      </c>
      <c r="B66" s="2" t="s">
        <v>199</v>
      </c>
      <c r="C66" s="2" t="s">
        <v>281</v>
      </c>
      <c r="D66" s="2" t="s">
        <v>546</v>
      </c>
      <c r="E66" s="2" t="s">
        <v>547</v>
      </c>
      <c r="F66" s="2" t="s">
        <v>548</v>
      </c>
      <c r="G66" s="2" t="s">
        <v>549</v>
      </c>
      <c r="H66" s="2" t="s">
        <v>234</v>
      </c>
      <c r="I66" s="2" t="s">
        <v>58</v>
      </c>
      <c r="J66" s="2" t="s">
        <v>117</v>
      </c>
      <c r="K66" s="2"/>
      <c r="L66" s="2" t="s">
        <v>360</v>
      </c>
      <c r="M66" s="2"/>
    </row>
    <row r="67" spans="1:13">
      <c r="A67" s="2" t="s">
        <v>550</v>
      </c>
      <c r="B67" s="2" t="s">
        <v>205</v>
      </c>
      <c r="C67" s="2" t="s">
        <v>221</v>
      </c>
      <c r="D67" s="2" t="s">
        <v>551</v>
      </c>
      <c r="E67" s="2" t="s">
        <v>223</v>
      </c>
      <c r="F67" s="2" t="s">
        <v>552</v>
      </c>
      <c r="G67" s="2" t="s">
        <v>553</v>
      </c>
      <c r="H67" s="2" t="s">
        <v>246</v>
      </c>
      <c r="I67" s="2" t="s">
        <v>227</v>
      </c>
      <c r="J67" s="2" t="s">
        <v>117</v>
      </c>
      <c r="K67" s="2"/>
      <c r="L67" s="2" t="s">
        <v>228</v>
      </c>
      <c r="M67" s="2"/>
    </row>
    <row r="68" spans="1:13">
      <c r="A68" s="2" t="s">
        <v>554</v>
      </c>
      <c r="B68" s="2" t="s">
        <v>205</v>
      </c>
      <c r="C68" s="2" t="s">
        <v>221</v>
      </c>
      <c r="D68" s="2" t="s">
        <v>555</v>
      </c>
      <c r="E68" s="2" t="s">
        <v>556</v>
      </c>
      <c r="F68" s="2" t="s">
        <v>557</v>
      </c>
      <c r="G68" s="2" t="s">
        <v>558</v>
      </c>
      <c r="H68" s="2" t="s">
        <v>252</v>
      </c>
      <c r="I68" s="2" t="s">
        <v>227</v>
      </c>
      <c r="J68" s="2" t="s">
        <v>117</v>
      </c>
      <c r="K68" s="2"/>
      <c r="L68" s="2" t="s">
        <v>263</v>
      </c>
      <c r="M68" s="2"/>
    </row>
    <row r="69" spans="1:13">
      <c r="A69" s="2" t="s">
        <v>559</v>
      </c>
      <c r="B69" s="2" t="s">
        <v>205</v>
      </c>
      <c r="C69" s="2" t="s">
        <v>535</v>
      </c>
      <c r="D69" s="2" t="s">
        <v>560</v>
      </c>
      <c r="E69" s="2" t="s">
        <v>561</v>
      </c>
      <c r="F69" s="2" t="s">
        <v>562</v>
      </c>
      <c r="G69" s="2" t="s">
        <v>563</v>
      </c>
      <c r="H69" s="2" t="s">
        <v>246</v>
      </c>
      <c r="I69" s="2" t="s">
        <v>227</v>
      </c>
      <c r="J69" s="2" t="s">
        <v>117</v>
      </c>
      <c r="K69" s="2"/>
      <c r="L69" s="2" t="s">
        <v>360</v>
      </c>
      <c r="M69" s="2"/>
    </row>
    <row r="70" spans="1:13">
      <c r="A70" s="2" t="s">
        <v>564</v>
      </c>
      <c r="B70" s="2" t="s">
        <v>205</v>
      </c>
      <c r="C70" s="2" t="s">
        <v>275</v>
      </c>
      <c r="D70" s="2" t="s">
        <v>565</v>
      </c>
      <c r="E70" s="2" t="s">
        <v>556</v>
      </c>
      <c r="F70" s="2" t="s">
        <v>566</v>
      </c>
      <c r="G70" s="2" t="s">
        <v>567</v>
      </c>
      <c r="H70" s="2" t="s">
        <v>234</v>
      </c>
      <c r="I70" s="2" t="s">
        <v>227</v>
      </c>
      <c r="J70" s="2" t="s">
        <v>117</v>
      </c>
      <c r="K70" s="2"/>
      <c r="L70" s="2" t="s">
        <v>240</v>
      </c>
      <c r="M70" s="2"/>
    </row>
    <row r="71" spans="1:13">
      <c r="A71" s="2" t="s">
        <v>568</v>
      </c>
      <c r="B71" s="2" t="s">
        <v>205</v>
      </c>
      <c r="C71" s="2" t="s">
        <v>221</v>
      </c>
      <c r="D71" s="2" t="s">
        <v>569</v>
      </c>
      <c r="E71" s="2" t="s">
        <v>570</v>
      </c>
      <c r="F71" s="2" t="s">
        <v>571</v>
      </c>
      <c r="G71" s="2" t="s">
        <v>572</v>
      </c>
      <c r="H71" s="2" t="s">
        <v>252</v>
      </c>
      <c r="I71" s="2" t="s">
        <v>227</v>
      </c>
      <c r="J71" s="2" t="s">
        <v>117</v>
      </c>
      <c r="K71" s="2"/>
      <c r="L71" s="2" t="s">
        <v>228</v>
      </c>
      <c r="M71" s="2"/>
    </row>
    <row r="72" spans="1:13">
      <c r="A72" s="2" t="s">
        <v>573</v>
      </c>
      <c r="B72" s="2" t="s">
        <v>205</v>
      </c>
      <c r="C72" s="2" t="s">
        <v>535</v>
      </c>
      <c r="D72" s="2" t="s">
        <v>574</v>
      </c>
      <c r="E72" s="2" t="s">
        <v>575</v>
      </c>
      <c r="F72" s="2" t="s">
        <v>576</v>
      </c>
      <c r="G72" s="2" t="s">
        <v>577</v>
      </c>
      <c r="H72" s="2" t="s">
        <v>234</v>
      </c>
      <c r="I72" s="2" t="s">
        <v>227</v>
      </c>
      <c r="J72" s="2" t="s">
        <v>117</v>
      </c>
      <c r="K72" s="2"/>
      <c r="L72" s="2" t="s">
        <v>263</v>
      </c>
      <c r="M72" s="2"/>
    </row>
    <row r="73" spans="1:13">
      <c r="A73" s="2" t="s">
        <v>578</v>
      </c>
      <c r="B73" s="2" t="s">
        <v>205</v>
      </c>
      <c r="C73" s="2" t="s">
        <v>221</v>
      </c>
      <c r="D73" s="2" t="s">
        <v>579</v>
      </c>
      <c r="E73" s="2" t="s">
        <v>580</v>
      </c>
      <c r="F73" s="2" t="s">
        <v>581</v>
      </c>
      <c r="G73" s="2" t="s">
        <v>582</v>
      </c>
      <c r="H73" s="2" t="s">
        <v>234</v>
      </c>
      <c r="I73" s="2" t="s">
        <v>227</v>
      </c>
      <c r="J73" s="2" t="s">
        <v>117</v>
      </c>
      <c r="K73" s="2"/>
      <c r="L73" s="2" t="s">
        <v>263</v>
      </c>
      <c r="M73" s="2"/>
    </row>
    <row r="74" spans="1:13">
      <c r="A74" s="2" t="s">
        <v>583</v>
      </c>
      <c r="B74" s="2" t="s">
        <v>205</v>
      </c>
      <c r="C74" s="2" t="s">
        <v>281</v>
      </c>
      <c r="D74" s="2" t="s">
        <v>584</v>
      </c>
      <c r="E74" s="2" t="s">
        <v>585</v>
      </c>
      <c r="F74" s="2" t="s">
        <v>586</v>
      </c>
      <c r="G74" s="2" t="s">
        <v>587</v>
      </c>
      <c r="H74" s="2" t="s">
        <v>234</v>
      </c>
      <c r="I74" s="2" t="s">
        <v>227</v>
      </c>
      <c r="J74" s="2" t="s">
        <v>117</v>
      </c>
      <c r="K74" s="2"/>
      <c r="L74" s="2" t="s">
        <v>360</v>
      </c>
      <c r="M74" s="2"/>
    </row>
    <row r="75" spans="1:13">
      <c r="A75" s="2" t="s">
        <v>588</v>
      </c>
      <c r="B75" s="2" t="s">
        <v>205</v>
      </c>
      <c r="C75" s="2" t="s">
        <v>281</v>
      </c>
      <c r="D75" s="2" t="s">
        <v>589</v>
      </c>
      <c r="E75" s="2" t="s">
        <v>590</v>
      </c>
      <c r="F75" s="2" t="s">
        <v>591</v>
      </c>
      <c r="G75" s="2" t="s">
        <v>592</v>
      </c>
      <c r="H75" s="2" t="s">
        <v>234</v>
      </c>
      <c r="I75" s="2" t="s">
        <v>227</v>
      </c>
      <c r="J75" s="2" t="s">
        <v>117</v>
      </c>
      <c r="K75" s="2"/>
      <c r="L75" s="2" t="s">
        <v>263</v>
      </c>
      <c r="M75" s="2"/>
    </row>
  </sheetData>
  <dataValidations count="2">
    <dataValidation type="list" sqref="J2:J250" xr:uid="{00000000-0002-0000-0400-000000000000}">
      <formula1>"Pendiente,Aprobado,Fallido,Bloqueado,No aplica"</formula1>
    </dataValidation>
    <dataValidation type="list" sqref="L2:L250" xr:uid="{00000000-0002-0000-0400-000001000000}">
      <formula1>"Critica,Alta,Media,Baja"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showGridLines="0" tabSelected="1" workbookViewId="0"/>
  </sheetViews>
  <sheetFormatPr baseColWidth="10" defaultColWidth="8.796875" defaultRowHeight="13.8"/>
  <cols>
    <col min="1" max="1" width="12.5" customWidth="1"/>
    <col min="2" max="2" width="10.59765625" customWidth="1"/>
    <col min="3" max="3" width="30" customWidth="1"/>
    <col min="4" max="4" width="35" customWidth="1"/>
    <col min="5" max="5" width="45" customWidth="1"/>
    <col min="6" max="6" width="21.19921875" customWidth="1"/>
    <col min="7" max="7" width="18.69921875" customWidth="1"/>
    <col min="8" max="8" width="15" customWidth="1"/>
  </cols>
  <sheetData>
    <row r="1" spans="1:8">
      <c r="A1" s="6" t="s">
        <v>593</v>
      </c>
      <c r="B1" s="6" t="s">
        <v>594</v>
      </c>
      <c r="C1" s="6" t="s">
        <v>595</v>
      </c>
      <c r="D1" s="6" t="s">
        <v>596</v>
      </c>
      <c r="E1" s="6" t="s">
        <v>106</v>
      </c>
      <c r="F1" s="6" t="s">
        <v>597</v>
      </c>
      <c r="G1" s="6" t="s">
        <v>598</v>
      </c>
      <c r="H1" s="6" t="s">
        <v>109</v>
      </c>
    </row>
    <row r="2" spans="1:8">
      <c r="A2" s="2" t="s">
        <v>599</v>
      </c>
      <c r="B2" s="2" t="s">
        <v>600</v>
      </c>
      <c r="C2" s="2" t="s">
        <v>601</v>
      </c>
      <c r="D2" s="2" t="s">
        <v>602</v>
      </c>
      <c r="E2" s="2" t="s">
        <v>603</v>
      </c>
      <c r="F2" s="2" t="s">
        <v>82</v>
      </c>
      <c r="G2" s="2" t="s">
        <v>58</v>
      </c>
      <c r="H2" s="2" t="s">
        <v>117</v>
      </c>
    </row>
    <row r="3" spans="1:8">
      <c r="A3" s="2" t="s">
        <v>604</v>
      </c>
      <c r="B3" s="2" t="s">
        <v>605</v>
      </c>
      <c r="C3" s="2" t="s">
        <v>606</v>
      </c>
      <c r="D3" s="2" t="s">
        <v>607</v>
      </c>
      <c r="E3" s="2" t="s">
        <v>608</v>
      </c>
      <c r="F3" s="2" t="s">
        <v>82</v>
      </c>
      <c r="G3" s="2" t="s">
        <v>58</v>
      </c>
      <c r="H3" s="2" t="s">
        <v>117</v>
      </c>
    </row>
    <row r="4" spans="1:8">
      <c r="A4" s="2" t="s">
        <v>609</v>
      </c>
      <c r="B4" s="2" t="s">
        <v>605</v>
      </c>
      <c r="C4" s="2" t="s">
        <v>610</v>
      </c>
      <c r="D4" s="2" t="s">
        <v>611</v>
      </c>
      <c r="E4" s="2" t="s">
        <v>612</v>
      </c>
      <c r="F4" s="2" t="s">
        <v>82</v>
      </c>
      <c r="G4" s="2" t="s">
        <v>58</v>
      </c>
      <c r="H4" s="2" t="s">
        <v>117</v>
      </c>
    </row>
    <row r="5" spans="1:8">
      <c r="A5" s="2" t="s">
        <v>613</v>
      </c>
      <c r="B5" s="2" t="s">
        <v>605</v>
      </c>
      <c r="C5" s="2" t="s">
        <v>614</v>
      </c>
      <c r="D5" s="2" t="s">
        <v>611</v>
      </c>
      <c r="E5" s="2" t="s">
        <v>150</v>
      </c>
      <c r="F5" s="2" t="s">
        <v>82</v>
      </c>
      <c r="G5" s="2" t="s">
        <v>58</v>
      </c>
      <c r="H5" s="2" t="s">
        <v>117</v>
      </c>
    </row>
    <row r="6" spans="1:8">
      <c r="A6" s="2" t="s">
        <v>615</v>
      </c>
      <c r="B6" s="2" t="s">
        <v>616</v>
      </c>
      <c r="C6" s="2" t="s">
        <v>617</v>
      </c>
      <c r="D6" s="2" t="s">
        <v>618</v>
      </c>
      <c r="E6" s="2" t="s">
        <v>619</v>
      </c>
      <c r="F6" s="2" t="s">
        <v>82</v>
      </c>
      <c r="G6" s="2" t="s">
        <v>58</v>
      </c>
      <c r="H6" s="2" t="s">
        <v>117</v>
      </c>
    </row>
  </sheetData>
  <dataValidations count="1">
    <dataValidation type="list" sqref="H2:H100" xr:uid="{00000000-0002-0000-0500-000000000000}">
      <formula1>"Pendiente,Programada,Completada,Reprogramada,Cancelada"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0"/>
  <sheetViews>
    <sheetView showGridLines="0" workbookViewId="0"/>
  </sheetViews>
  <sheetFormatPr baseColWidth="10" defaultColWidth="8.796875" defaultRowHeight="13.8"/>
  <cols>
    <col min="1" max="1" width="16.8984375" customWidth="1"/>
    <col min="2" max="2" width="26.19921875" customWidth="1"/>
    <col min="3" max="3" width="27.5" customWidth="1"/>
    <col min="4" max="4" width="11.19921875" customWidth="1"/>
    <col min="5" max="5" width="12.5" customWidth="1"/>
    <col min="6" max="6" width="15" customWidth="1"/>
    <col min="7" max="7" width="13.69921875" customWidth="1"/>
    <col min="8" max="8" width="12.5" customWidth="1"/>
    <col min="9" max="9" width="21.19921875" customWidth="1"/>
    <col min="10" max="10" width="12.5" customWidth="1"/>
  </cols>
  <sheetData>
    <row r="1" spans="1:10">
      <c r="A1" s="6" t="s">
        <v>170</v>
      </c>
      <c r="B1" s="6" t="s">
        <v>620</v>
      </c>
      <c r="C1" s="6" t="s">
        <v>621</v>
      </c>
      <c r="D1" s="6" t="s">
        <v>622</v>
      </c>
      <c r="E1" s="6" t="s">
        <v>623</v>
      </c>
      <c r="F1" s="6" t="s">
        <v>15</v>
      </c>
      <c r="G1" s="6" t="s">
        <v>624</v>
      </c>
      <c r="H1" s="6" t="s">
        <v>20</v>
      </c>
      <c r="I1" s="6" t="s">
        <v>109</v>
      </c>
      <c r="J1" s="6" t="s">
        <v>625</v>
      </c>
    </row>
    <row r="2" spans="1:10">
      <c r="A2" s="2" t="s">
        <v>174</v>
      </c>
      <c r="B2" s="2" t="s">
        <v>626</v>
      </c>
      <c r="C2" s="2" t="s">
        <v>627</v>
      </c>
      <c r="D2" s="2">
        <f>COUNTIF(UAT!B2:B250,A2)</f>
        <v>13</v>
      </c>
      <c r="E2" s="4">
        <f>IFERROR(COUNTIFS(UAT!B2:B250,A2,UAT!J2:J250,"Aprobado")/D2,0)</f>
        <v>0</v>
      </c>
      <c r="F2" s="2">
        <f>COUNTIFS(UAT!B2:B250,A2,UAT!L2:L250,"Critica",UAT!J2:J250,"Fallido")+COUNTIFS(UAT!B2:B250,A2,UAT!L2:L250,"Critica",UAT!J2:J250,"Bloqueado")</f>
        <v>0</v>
      </c>
      <c r="G2" s="2">
        <f>COUNTIFS(UAT!B2:B250,A2,UAT!L2:L250,"Media",UAT!J2:J250,"Fallido")</f>
        <v>0</v>
      </c>
      <c r="H2" s="2">
        <f>COUNTIFS(UAT!B2:B250,A2,UAT!J2:J250,"Bloqueado")</f>
        <v>0</v>
      </c>
      <c r="I2" s="2" t="s">
        <v>628</v>
      </c>
      <c r="J2" s="2" t="str">
        <f t="shared" ref="J2:J8" si="0">IF(AND(E2&gt;=0.95,F2=0,G2&lt;2,H2=0),"Go","No-Go")</f>
        <v>No-Go</v>
      </c>
    </row>
    <row r="3" spans="1:10">
      <c r="A3" s="2" t="s">
        <v>179</v>
      </c>
      <c r="B3" s="2" t="s">
        <v>629</v>
      </c>
      <c r="C3" s="2" t="s">
        <v>630</v>
      </c>
      <c r="D3" s="2">
        <f>COUNTIF(UAT!B2:B250,A3)</f>
        <v>14</v>
      </c>
      <c r="E3" s="4">
        <f>IFERROR(COUNTIFS(UAT!B2:B250,A3,UAT!J2:J250,"Aprobado")/D3,0)</f>
        <v>0</v>
      </c>
      <c r="F3" s="2">
        <f>COUNTIFS(UAT!B2:B250,A3,UAT!L2:L250,"Critica",UAT!J2:J250,"Fallido")+COUNTIFS(UAT!B2:B250,A3,UAT!L2:L250,"Critica",UAT!J2:J250,"Bloqueado")</f>
        <v>0</v>
      </c>
      <c r="G3" s="2">
        <f>COUNTIFS(UAT!B2:B250,A3,UAT!L2:L250,"Media",UAT!J2:J250,"Fallido")</f>
        <v>0</v>
      </c>
      <c r="H3" s="2">
        <f>COUNTIFS(UAT!B2:B250,A3,UAT!J2:J250,"Bloqueado")</f>
        <v>0</v>
      </c>
      <c r="I3" s="2" t="s">
        <v>628</v>
      </c>
      <c r="J3" s="2" t="str">
        <f t="shared" si="0"/>
        <v>No-Go</v>
      </c>
    </row>
    <row r="4" spans="1:10">
      <c r="A4" s="2" t="s">
        <v>184</v>
      </c>
      <c r="B4" s="2" t="s">
        <v>631</v>
      </c>
      <c r="C4" s="2" t="s">
        <v>632</v>
      </c>
      <c r="D4" s="2">
        <f>COUNTIF(UAT!B2:B250,A4)</f>
        <v>9</v>
      </c>
      <c r="E4" s="4">
        <f>IFERROR(COUNTIFS(UAT!B2:B250,A4,UAT!J2:J250,"Aprobado")/D4,0)</f>
        <v>0</v>
      </c>
      <c r="F4" s="2">
        <f>COUNTIFS(UAT!B2:B250,A4,UAT!L2:L250,"Critica",UAT!J2:J250,"Fallido")+COUNTIFS(UAT!B2:B250,A4,UAT!L2:L250,"Critica",UAT!J2:J250,"Bloqueado")</f>
        <v>0</v>
      </c>
      <c r="G4" s="2">
        <f>COUNTIFS(UAT!B2:B250,A4,UAT!L2:L250,"Media",UAT!J2:J250,"Fallido")</f>
        <v>0</v>
      </c>
      <c r="H4" s="2">
        <f>COUNTIFS(UAT!B2:B250,A4,UAT!J2:J250,"Bloqueado")</f>
        <v>0</v>
      </c>
      <c r="I4" s="2" t="s">
        <v>628</v>
      </c>
      <c r="J4" s="2" t="str">
        <f t="shared" si="0"/>
        <v>No-Go</v>
      </c>
    </row>
    <row r="5" spans="1:10">
      <c r="A5" s="2" t="s">
        <v>189</v>
      </c>
      <c r="B5" s="2" t="s">
        <v>633</v>
      </c>
      <c r="C5" s="2" t="s">
        <v>634</v>
      </c>
      <c r="D5" s="2">
        <f>COUNTIF(UAT!B2:B250,A5)</f>
        <v>9</v>
      </c>
      <c r="E5" s="4">
        <f>IFERROR(COUNTIFS(UAT!B2:B250,A5,UAT!J2:J250,"Aprobado")/D5,0)</f>
        <v>0</v>
      </c>
      <c r="F5" s="2">
        <f>COUNTIFS(UAT!B2:B250,A5,UAT!L2:L250,"Critica",UAT!J2:J250,"Fallido")+COUNTIFS(UAT!B2:B250,A5,UAT!L2:L250,"Critica",UAT!J2:J250,"Bloqueado")</f>
        <v>0</v>
      </c>
      <c r="G5" s="2">
        <f>COUNTIFS(UAT!B2:B250,A5,UAT!L2:L250,"Media",UAT!J2:J250,"Fallido")</f>
        <v>0</v>
      </c>
      <c r="H5" s="2">
        <f>COUNTIFS(UAT!B2:B250,A5,UAT!J2:J250,"Bloqueado")</f>
        <v>0</v>
      </c>
      <c r="I5" s="2" t="s">
        <v>628</v>
      </c>
      <c r="J5" s="2" t="str">
        <f t="shared" si="0"/>
        <v>No-Go</v>
      </c>
    </row>
    <row r="6" spans="1:10">
      <c r="A6" s="2" t="s">
        <v>194</v>
      </c>
      <c r="B6" s="2" t="s">
        <v>635</v>
      </c>
      <c r="C6" s="2" t="s">
        <v>636</v>
      </c>
      <c r="D6" s="2">
        <f>COUNTIF(UAT!B2:B250,A6)</f>
        <v>10</v>
      </c>
      <c r="E6" s="4">
        <f>IFERROR(COUNTIFS(UAT!B2:B250,A6,UAT!J2:J250,"Aprobado")/D6,0)</f>
        <v>0</v>
      </c>
      <c r="F6" s="2">
        <f>COUNTIFS(UAT!B2:B250,A6,UAT!L2:L250,"Critica",UAT!J2:J250,"Fallido")+COUNTIFS(UAT!B2:B250,A6,UAT!L2:L250,"Critica",UAT!J2:J250,"Bloqueado")</f>
        <v>0</v>
      </c>
      <c r="G6" s="2">
        <f>COUNTIFS(UAT!B2:B250,A6,UAT!L2:L250,"Media",UAT!J2:J250,"Fallido")</f>
        <v>0</v>
      </c>
      <c r="H6" s="2">
        <f>COUNTIFS(UAT!B2:B250,A6,UAT!J2:J250,"Bloqueado")</f>
        <v>0</v>
      </c>
      <c r="I6" s="2" t="s">
        <v>628</v>
      </c>
      <c r="J6" s="2" t="str">
        <f t="shared" si="0"/>
        <v>No-Go</v>
      </c>
    </row>
    <row r="7" spans="1:10">
      <c r="A7" s="2" t="s">
        <v>199</v>
      </c>
      <c r="B7" s="2" t="s">
        <v>637</v>
      </c>
      <c r="C7" s="2" t="s">
        <v>638</v>
      </c>
      <c r="D7" s="2">
        <f>COUNTIF(UAT!B2:B250,A7)</f>
        <v>10</v>
      </c>
      <c r="E7" s="4">
        <f>IFERROR(COUNTIFS(UAT!B2:B250,A7,UAT!J2:J250,"Aprobado")/D7,0)</f>
        <v>0</v>
      </c>
      <c r="F7" s="2">
        <f>COUNTIFS(UAT!B2:B250,A7,UAT!L2:L250,"Critica",UAT!J2:J250,"Fallido")+COUNTIFS(UAT!B2:B250,A7,UAT!L2:L250,"Critica",UAT!J2:J250,"Bloqueado")</f>
        <v>0</v>
      </c>
      <c r="G7" s="2">
        <f>COUNTIFS(UAT!B2:B250,A7,UAT!L2:L250,"Media",UAT!J2:J250,"Fallido")</f>
        <v>0</v>
      </c>
      <c r="H7" s="2">
        <f>COUNTIFS(UAT!B2:B250,A7,UAT!J2:J250,"Bloqueado")</f>
        <v>0</v>
      </c>
      <c r="I7" s="2" t="s">
        <v>628</v>
      </c>
      <c r="J7" s="2" t="str">
        <f t="shared" si="0"/>
        <v>No-Go</v>
      </c>
    </row>
    <row r="8" spans="1:10">
      <c r="A8" s="2" t="s">
        <v>205</v>
      </c>
      <c r="B8" s="2" t="s">
        <v>639</v>
      </c>
      <c r="C8" s="2" t="s">
        <v>640</v>
      </c>
      <c r="D8" s="2">
        <f>COUNTIF(UAT!B2:B250,A8)</f>
        <v>9</v>
      </c>
      <c r="E8" s="4">
        <f>IFERROR(COUNTIFS(UAT!B2:B250,A8,UAT!J2:J250,"Aprobado")/D8,0)</f>
        <v>0</v>
      </c>
      <c r="F8" s="2">
        <f>COUNTIFS(UAT!B2:B250,A8,UAT!L2:L250,"Critica",UAT!J2:J250,"Fallido")+COUNTIFS(UAT!B2:B250,A8,UAT!L2:L250,"Critica",UAT!J2:J250,"Bloqueado")</f>
        <v>0</v>
      </c>
      <c r="G8" s="2">
        <f>COUNTIFS(UAT!B2:B250,A8,UAT!L2:L250,"Media",UAT!J2:J250,"Fallido")</f>
        <v>0</v>
      </c>
      <c r="H8" s="2">
        <f>COUNTIFS(UAT!B2:B250,A8,UAT!J2:J250,"Bloqueado")</f>
        <v>0</v>
      </c>
      <c r="I8" s="2" t="s">
        <v>628</v>
      </c>
      <c r="J8" s="2" t="str">
        <f t="shared" si="0"/>
        <v>No-Go</v>
      </c>
    </row>
    <row r="9" spans="1:10">
      <c r="A9" s="2"/>
      <c r="B9" s="2"/>
      <c r="C9" s="2"/>
      <c r="D9" s="2"/>
      <c r="E9" s="4"/>
      <c r="F9" s="2"/>
      <c r="G9" s="2"/>
      <c r="H9" s="2"/>
      <c r="I9" s="2"/>
      <c r="J9" s="2"/>
    </row>
    <row r="10" spans="1:10">
      <c r="A10" s="2"/>
      <c r="B10" s="2"/>
      <c r="C10" s="2"/>
      <c r="D10" s="2"/>
      <c r="E10" s="4"/>
      <c r="F10" s="2"/>
      <c r="G10" s="2"/>
      <c r="H10" s="2"/>
      <c r="I10" s="2"/>
      <c r="J10" s="2"/>
    </row>
    <row r="11" spans="1:10">
      <c r="A11" s="2"/>
      <c r="B11" s="2"/>
      <c r="C11" s="2"/>
      <c r="D11" s="2"/>
      <c r="E11" s="4"/>
      <c r="F11" s="2"/>
      <c r="G11" s="2"/>
      <c r="H11" s="2"/>
      <c r="I11" s="2"/>
      <c r="J11" s="2"/>
    </row>
    <row r="12" spans="1:10">
      <c r="A12" s="2"/>
      <c r="B12" s="2"/>
      <c r="C12" s="2"/>
      <c r="D12" s="2"/>
      <c r="E12" s="4"/>
      <c r="F12" s="2"/>
      <c r="G12" s="2"/>
      <c r="H12" s="2"/>
      <c r="I12" s="2"/>
      <c r="J12" s="2"/>
    </row>
    <row r="13" spans="1:10">
      <c r="A13" s="2"/>
      <c r="B13" s="2"/>
      <c r="C13" s="2"/>
      <c r="D13" s="2"/>
      <c r="E13" s="4"/>
      <c r="F13" s="2"/>
      <c r="G13" s="2"/>
      <c r="H13" s="2"/>
      <c r="I13" s="2"/>
      <c r="J13" s="2"/>
    </row>
    <row r="14" spans="1:10">
      <c r="A14" s="2"/>
      <c r="B14" s="2"/>
      <c r="C14" s="2"/>
      <c r="D14" s="2"/>
      <c r="E14" s="4"/>
      <c r="F14" s="2"/>
      <c r="G14" s="2"/>
      <c r="H14" s="2"/>
      <c r="I14" s="2"/>
      <c r="J14" s="2"/>
    </row>
    <row r="15" spans="1:10">
      <c r="A15" s="2"/>
      <c r="B15" s="2"/>
      <c r="C15" s="2"/>
      <c r="D15" s="2"/>
      <c r="E15" s="4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4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4"/>
      <c r="F17" s="2"/>
      <c r="G17" s="2"/>
      <c r="H17" s="2"/>
      <c r="I17" s="2"/>
      <c r="J17" s="2"/>
    </row>
    <row r="18" spans="1:10">
      <c r="A18" s="2"/>
      <c r="B18" s="2"/>
      <c r="C18" s="2"/>
      <c r="D18" s="2"/>
      <c r="E18" s="4"/>
      <c r="F18" s="2"/>
      <c r="G18" s="2"/>
      <c r="H18" s="2"/>
      <c r="I18" s="2"/>
      <c r="J18" s="2"/>
    </row>
    <row r="19" spans="1:10">
      <c r="A19" s="2"/>
      <c r="B19" s="2"/>
      <c r="C19" s="2"/>
      <c r="D19" s="2"/>
      <c r="E19" s="4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4"/>
      <c r="F20" s="2"/>
      <c r="G20" s="2"/>
      <c r="H20" s="2"/>
      <c r="I20" s="2"/>
      <c r="J20" s="2"/>
    </row>
    <row r="21" spans="1:10">
      <c r="A21" s="2"/>
      <c r="B21" s="2"/>
      <c r="C21" s="2"/>
      <c r="D21" s="2"/>
      <c r="E21" s="4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4"/>
      <c r="F22" s="2"/>
      <c r="G22" s="2"/>
      <c r="H22" s="2"/>
      <c r="I22" s="2"/>
      <c r="J22" s="2"/>
    </row>
    <row r="23" spans="1:10">
      <c r="A23" s="2"/>
      <c r="B23" s="2"/>
      <c r="C23" s="2"/>
      <c r="D23" s="2"/>
      <c r="E23" s="4"/>
      <c r="F23" s="2"/>
      <c r="G23" s="2"/>
      <c r="H23" s="2"/>
      <c r="I23" s="2"/>
      <c r="J23" s="2"/>
    </row>
    <row r="24" spans="1:10">
      <c r="A24" s="2"/>
      <c r="B24" s="2"/>
      <c r="C24" s="2"/>
      <c r="D24" s="2"/>
      <c r="E24" s="4"/>
      <c r="F24" s="2"/>
      <c r="G24" s="2"/>
      <c r="H24" s="2"/>
      <c r="I24" s="2"/>
      <c r="J24" s="2"/>
    </row>
    <row r="25" spans="1:10">
      <c r="A25" s="2"/>
      <c r="B25" s="2"/>
      <c r="C25" s="2"/>
      <c r="D25" s="2"/>
      <c r="E25" s="4"/>
      <c r="F25" s="2"/>
      <c r="G25" s="2"/>
      <c r="H25" s="2"/>
      <c r="I25" s="2"/>
      <c r="J25" s="2"/>
    </row>
    <row r="26" spans="1:10">
      <c r="A26" s="2"/>
      <c r="B26" s="2"/>
      <c r="C26" s="2"/>
      <c r="D26" s="2"/>
      <c r="E26" s="4"/>
      <c r="F26" s="2"/>
      <c r="G26" s="2"/>
      <c r="H26" s="2"/>
      <c r="I26" s="2"/>
      <c r="J26" s="2"/>
    </row>
    <row r="27" spans="1:10">
      <c r="A27" s="2"/>
      <c r="B27" s="2"/>
      <c r="C27" s="2"/>
      <c r="D27" s="2"/>
      <c r="E27" s="4"/>
      <c r="F27" s="2"/>
      <c r="G27" s="2"/>
      <c r="H27" s="2"/>
      <c r="I27" s="2"/>
      <c r="J27" s="2"/>
    </row>
    <row r="28" spans="1:10">
      <c r="A28" s="2"/>
      <c r="B28" s="2"/>
      <c r="C28" s="2"/>
      <c r="D28" s="2"/>
      <c r="E28" s="4"/>
      <c r="F28" s="2"/>
      <c r="G28" s="2"/>
      <c r="H28" s="2"/>
      <c r="I28" s="2"/>
      <c r="J28" s="2"/>
    </row>
    <row r="29" spans="1:10">
      <c r="A29" s="2"/>
      <c r="B29" s="2"/>
      <c r="C29" s="2"/>
      <c r="D29" s="2"/>
      <c r="E29" s="4"/>
      <c r="F29" s="2"/>
      <c r="G29" s="2"/>
      <c r="H29" s="2"/>
      <c r="I29" s="2"/>
      <c r="J29" s="2"/>
    </row>
    <row r="30" spans="1:10">
      <c r="A30" s="2"/>
      <c r="B30" s="2"/>
      <c r="C30" s="2"/>
      <c r="D30" s="2"/>
      <c r="E30" s="4"/>
      <c r="F30" s="2"/>
      <c r="G30" s="2"/>
      <c r="H30" s="2"/>
      <c r="I30" s="2"/>
      <c r="J30" s="2"/>
    </row>
    <row r="31" spans="1:10">
      <c r="A31" s="2"/>
      <c r="B31" s="2"/>
      <c r="C31" s="2"/>
      <c r="D31" s="2"/>
      <c r="E31" s="4"/>
      <c r="F31" s="2"/>
      <c r="G31" s="2"/>
      <c r="H31" s="2"/>
      <c r="I31" s="2"/>
      <c r="J31" s="2"/>
    </row>
    <row r="32" spans="1:10">
      <c r="A32" s="2"/>
      <c r="B32" s="2"/>
      <c r="C32" s="2"/>
      <c r="D32" s="2"/>
      <c r="E32" s="4"/>
      <c r="F32" s="2"/>
      <c r="G32" s="2"/>
      <c r="H32" s="2"/>
      <c r="I32" s="2"/>
      <c r="J32" s="2"/>
    </row>
    <row r="33" spans="1:10">
      <c r="A33" s="2"/>
      <c r="B33" s="2"/>
      <c r="C33" s="2"/>
      <c r="D33" s="2"/>
      <c r="E33" s="4"/>
      <c r="F33" s="2"/>
      <c r="G33" s="2"/>
      <c r="H33" s="2"/>
      <c r="I33" s="2"/>
      <c r="J33" s="2"/>
    </row>
    <row r="34" spans="1:10">
      <c r="A34" s="2"/>
      <c r="B34" s="2"/>
      <c r="C34" s="2"/>
      <c r="D34" s="2"/>
      <c r="E34" s="4"/>
      <c r="F34" s="2"/>
      <c r="G34" s="2"/>
      <c r="H34" s="2"/>
      <c r="I34" s="2"/>
      <c r="J34" s="2"/>
    </row>
    <row r="35" spans="1:10">
      <c r="A35" s="2"/>
      <c r="B35" s="2"/>
      <c r="C35" s="2"/>
      <c r="D35" s="2"/>
      <c r="E35" s="4"/>
      <c r="F35" s="2"/>
      <c r="G35" s="2"/>
      <c r="H35" s="2"/>
      <c r="I35" s="2"/>
      <c r="J35" s="2"/>
    </row>
    <row r="36" spans="1:10">
      <c r="A36" s="2"/>
      <c r="B36" s="2"/>
      <c r="C36" s="2"/>
      <c r="D36" s="2"/>
      <c r="E36" s="4"/>
      <c r="F36" s="2"/>
      <c r="G36" s="2"/>
      <c r="H36" s="2"/>
      <c r="I36" s="2"/>
      <c r="J36" s="2"/>
    </row>
    <row r="37" spans="1:10">
      <c r="A37" s="2"/>
      <c r="B37" s="2"/>
      <c r="C37" s="2"/>
      <c r="D37" s="2"/>
      <c r="E37" s="4"/>
      <c r="F37" s="2"/>
      <c r="G37" s="2"/>
      <c r="H37" s="2"/>
      <c r="I37" s="2"/>
      <c r="J37" s="2"/>
    </row>
    <row r="38" spans="1:10">
      <c r="A38" s="2"/>
      <c r="B38" s="2"/>
      <c r="C38" s="2"/>
      <c r="D38" s="2"/>
      <c r="E38" s="4"/>
      <c r="F38" s="2"/>
      <c r="G38" s="2"/>
      <c r="H38" s="2"/>
      <c r="I38" s="2"/>
      <c r="J38" s="2"/>
    </row>
    <row r="39" spans="1:10">
      <c r="A39" s="2"/>
      <c r="B39" s="2"/>
      <c r="C39" s="2"/>
      <c r="D39" s="2"/>
      <c r="E39" s="4"/>
      <c r="F39" s="2"/>
      <c r="G39" s="2"/>
      <c r="H39" s="2"/>
      <c r="I39" s="2"/>
      <c r="J39" s="2"/>
    </row>
    <row r="40" spans="1:10">
      <c r="A40" s="2"/>
      <c r="B40" s="2"/>
      <c r="C40" s="2"/>
      <c r="D40" s="2"/>
      <c r="E40" s="4"/>
      <c r="F40" s="2"/>
      <c r="G40" s="2"/>
      <c r="H40" s="2"/>
      <c r="I40" s="2"/>
      <c r="J40" s="2"/>
    </row>
    <row r="41" spans="1:10">
      <c r="A41" s="2"/>
      <c r="B41" s="2"/>
      <c r="C41" s="2"/>
      <c r="D41" s="2"/>
      <c r="E41" s="4"/>
      <c r="F41" s="2"/>
      <c r="G41" s="2"/>
      <c r="H41" s="2"/>
      <c r="I41" s="2"/>
      <c r="J41" s="2"/>
    </row>
    <row r="42" spans="1:10">
      <c r="A42" s="2"/>
      <c r="B42" s="2"/>
      <c r="C42" s="2"/>
      <c r="D42" s="2"/>
      <c r="E42" s="4"/>
      <c r="F42" s="2"/>
      <c r="G42" s="2"/>
      <c r="H42" s="2"/>
      <c r="I42" s="2"/>
      <c r="J42" s="2"/>
    </row>
    <row r="43" spans="1:10">
      <c r="A43" s="2"/>
      <c r="B43" s="2"/>
      <c r="C43" s="2"/>
      <c r="D43" s="2"/>
      <c r="E43" s="4"/>
      <c r="F43" s="2"/>
      <c r="G43" s="2"/>
      <c r="H43" s="2"/>
      <c r="I43" s="2"/>
      <c r="J43" s="2"/>
    </row>
    <row r="44" spans="1:10">
      <c r="A44" s="2"/>
      <c r="B44" s="2"/>
      <c r="C44" s="2"/>
      <c r="D44" s="2"/>
      <c r="E44" s="4"/>
      <c r="F44" s="2"/>
      <c r="G44" s="2"/>
      <c r="H44" s="2"/>
      <c r="I44" s="2"/>
      <c r="J44" s="2"/>
    </row>
    <row r="45" spans="1:10">
      <c r="A45" s="2"/>
      <c r="B45" s="2"/>
      <c r="C45" s="2"/>
      <c r="D45" s="2"/>
      <c r="E45" s="4"/>
      <c r="F45" s="2"/>
      <c r="G45" s="2"/>
      <c r="H45" s="2"/>
      <c r="I45" s="2"/>
      <c r="J45" s="2"/>
    </row>
    <row r="46" spans="1:10">
      <c r="A46" s="2"/>
      <c r="B46" s="2"/>
      <c r="C46" s="2"/>
      <c r="D46" s="2"/>
      <c r="E46" s="4"/>
      <c r="F46" s="2"/>
      <c r="G46" s="2"/>
      <c r="H46" s="2"/>
      <c r="I46" s="2"/>
      <c r="J46" s="2"/>
    </row>
    <row r="47" spans="1:10">
      <c r="A47" s="2"/>
      <c r="B47" s="2"/>
      <c r="C47" s="2"/>
      <c r="D47" s="2"/>
      <c r="E47" s="4"/>
      <c r="F47" s="2"/>
      <c r="G47" s="2"/>
      <c r="H47" s="2"/>
      <c r="I47" s="2"/>
      <c r="J47" s="2"/>
    </row>
    <row r="48" spans="1:10">
      <c r="A48" s="2"/>
      <c r="B48" s="2"/>
      <c r="C48" s="2"/>
      <c r="D48" s="2"/>
      <c r="E48" s="4"/>
      <c r="F48" s="2"/>
      <c r="G48" s="2"/>
      <c r="H48" s="2"/>
      <c r="I48" s="2"/>
      <c r="J48" s="2"/>
    </row>
    <row r="49" spans="1:10">
      <c r="A49" s="2"/>
      <c r="B49" s="2"/>
      <c r="C49" s="2"/>
      <c r="D49" s="2"/>
      <c r="E49" s="4"/>
      <c r="F49" s="2"/>
      <c r="G49" s="2"/>
      <c r="H49" s="2"/>
      <c r="I49" s="2"/>
      <c r="J49" s="2"/>
    </row>
    <row r="50" spans="1:10">
      <c r="A50" s="2"/>
      <c r="B50" s="2"/>
      <c r="C50" s="2"/>
      <c r="D50" s="2"/>
      <c r="E50" s="4"/>
      <c r="F50" s="2"/>
      <c r="G50" s="2"/>
      <c r="H50" s="2"/>
      <c r="I50" s="2"/>
      <c r="J50" s="2"/>
    </row>
    <row r="51" spans="1:10">
      <c r="A51" s="2"/>
      <c r="B51" s="2"/>
      <c r="C51" s="2"/>
      <c r="D51" s="2"/>
      <c r="E51" s="4"/>
      <c r="F51" s="2"/>
      <c r="G51" s="2"/>
      <c r="H51" s="2"/>
      <c r="I51" s="2"/>
      <c r="J51" s="2"/>
    </row>
    <row r="52" spans="1:10">
      <c r="A52" s="2"/>
      <c r="B52" s="2"/>
      <c r="C52" s="2"/>
      <c r="D52" s="2"/>
      <c r="E52" s="4"/>
      <c r="F52" s="2"/>
      <c r="G52" s="2"/>
      <c r="H52" s="2"/>
      <c r="I52" s="2"/>
      <c r="J52" s="2"/>
    </row>
    <row r="53" spans="1:10">
      <c r="A53" s="2"/>
      <c r="B53" s="2"/>
      <c r="C53" s="2"/>
      <c r="D53" s="2"/>
      <c r="E53" s="4"/>
      <c r="F53" s="2"/>
      <c r="G53" s="2"/>
      <c r="H53" s="2"/>
      <c r="I53" s="2"/>
      <c r="J53" s="2"/>
    </row>
    <row r="54" spans="1:10">
      <c r="A54" s="2"/>
      <c r="B54" s="2"/>
      <c r="C54" s="2"/>
      <c r="D54" s="2"/>
      <c r="E54" s="4"/>
      <c r="F54" s="2"/>
      <c r="G54" s="2"/>
      <c r="H54" s="2"/>
      <c r="I54" s="2"/>
      <c r="J54" s="2"/>
    </row>
    <row r="55" spans="1:10">
      <c r="A55" s="2"/>
      <c r="B55" s="2"/>
      <c r="C55" s="2"/>
      <c r="D55" s="2"/>
      <c r="E55" s="4"/>
      <c r="F55" s="2"/>
      <c r="G55" s="2"/>
      <c r="H55" s="2"/>
      <c r="I55" s="2"/>
      <c r="J55" s="2"/>
    </row>
    <row r="56" spans="1:10">
      <c r="A56" s="2"/>
      <c r="B56" s="2"/>
      <c r="C56" s="2"/>
      <c r="D56" s="2"/>
      <c r="E56" s="4"/>
      <c r="F56" s="2"/>
      <c r="G56" s="2"/>
      <c r="H56" s="2"/>
      <c r="I56" s="2"/>
      <c r="J56" s="2"/>
    </row>
    <row r="57" spans="1:10">
      <c r="A57" s="2"/>
      <c r="B57" s="2"/>
      <c r="C57" s="2"/>
      <c r="D57" s="2"/>
      <c r="E57" s="4"/>
      <c r="F57" s="2"/>
      <c r="G57" s="2"/>
      <c r="H57" s="2"/>
      <c r="I57" s="2"/>
      <c r="J57" s="2"/>
    </row>
    <row r="58" spans="1:10">
      <c r="A58" s="2"/>
      <c r="B58" s="2"/>
      <c r="C58" s="2"/>
      <c r="D58" s="2"/>
      <c r="E58" s="4"/>
      <c r="F58" s="2"/>
      <c r="G58" s="2"/>
      <c r="H58" s="2"/>
      <c r="I58" s="2"/>
      <c r="J58" s="2"/>
    </row>
    <row r="59" spans="1:10">
      <c r="A59" s="2"/>
      <c r="B59" s="2"/>
      <c r="C59" s="2"/>
      <c r="D59" s="2"/>
      <c r="E59" s="4"/>
      <c r="F59" s="2"/>
      <c r="G59" s="2"/>
      <c r="H59" s="2"/>
      <c r="I59" s="2"/>
      <c r="J59" s="2"/>
    </row>
    <row r="60" spans="1:10">
      <c r="A60" s="2"/>
      <c r="B60" s="2"/>
      <c r="C60" s="2"/>
      <c r="D60" s="2"/>
      <c r="E60" s="4"/>
      <c r="F60" s="2"/>
      <c r="G60" s="2"/>
      <c r="H60" s="2"/>
      <c r="I60" s="2"/>
      <c r="J60" s="2"/>
    </row>
    <row r="61" spans="1:10">
      <c r="A61" s="2"/>
      <c r="B61" s="2"/>
      <c r="C61" s="2"/>
      <c r="D61" s="2"/>
      <c r="E61" s="4"/>
      <c r="F61" s="2"/>
      <c r="G61" s="2"/>
      <c r="H61" s="2"/>
      <c r="I61" s="2"/>
      <c r="J61" s="2"/>
    </row>
    <row r="62" spans="1:10">
      <c r="A62" s="2"/>
      <c r="B62" s="2"/>
      <c r="C62" s="2"/>
      <c r="D62" s="2"/>
      <c r="E62" s="4"/>
      <c r="F62" s="2"/>
      <c r="G62" s="2"/>
      <c r="H62" s="2"/>
      <c r="I62" s="2"/>
      <c r="J62" s="2"/>
    </row>
    <row r="63" spans="1:10">
      <c r="A63" s="2"/>
      <c r="B63" s="2"/>
      <c r="C63" s="2"/>
      <c r="D63" s="2"/>
      <c r="E63" s="4"/>
      <c r="F63" s="2"/>
      <c r="G63" s="2"/>
      <c r="H63" s="2"/>
      <c r="I63" s="2"/>
      <c r="J63" s="2"/>
    </row>
    <row r="64" spans="1:10">
      <c r="A64" s="2"/>
      <c r="B64" s="2"/>
      <c r="C64" s="2"/>
      <c r="D64" s="2"/>
      <c r="E64" s="4"/>
      <c r="F64" s="2"/>
      <c r="G64" s="2"/>
      <c r="H64" s="2"/>
      <c r="I64" s="2"/>
      <c r="J64" s="2"/>
    </row>
    <row r="65" spans="1:10">
      <c r="A65" s="2"/>
      <c r="B65" s="2"/>
      <c r="C65" s="2"/>
      <c r="D65" s="2"/>
      <c r="E65" s="4"/>
      <c r="F65" s="2"/>
      <c r="G65" s="2"/>
      <c r="H65" s="2"/>
      <c r="I65" s="2"/>
      <c r="J65" s="2"/>
    </row>
    <row r="66" spans="1:10">
      <c r="A66" s="2"/>
      <c r="B66" s="2"/>
      <c r="C66" s="2"/>
      <c r="D66" s="2"/>
      <c r="E66" s="4"/>
      <c r="F66" s="2"/>
      <c r="G66" s="2"/>
      <c r="H66" s="2"/>
      <c r="I66" s="2"/>
      <c r="J66" s="2"/>
    </row>
    <row r="67" spans="1:10">
      <c r="A67" s="2"/>
      <c r="B67" s="2"/>
      <c r="C67" s="2"/>
      <c r="D67" s="2"/>
      <c r="E67" s="4"/>
      <c r="F67" s="2"/>
      <c r="G67" s="2"/>
      <c r="H67" s="2"/>
      <c r="I67" s="2"/>
      <c r="J67" s="2"/>
    </row>
    <row r="68" spans="1:10">
      <c r="A68" s="2"/>
      <c r="B68" s="2"/>
      <c r="C68" s="2"/>
      <c r="D68" s="2"/>
      <c r="E68" s="4"/>
      <c r="F68" s="2"/>
      <c r="G68" s="2"/>
      <c r="H68" s="2"/>
      <c r="I68" s="2"/>
      <c r="J68" s="2"/>
    </row>
    <row r="69" spans="1:10">
      <c r="A69" s="2"/>
      <c r="B69" s="2"/>
      <c r="C69" s="2"/>
      <c r="D69" s="2"/>
      <c r="E69" s="4"/>
      <c r="F69" s="2"/>
      <c r="G69" s="2"/>
      <c r="H69" s="2"/>
      <c r="I69" s="2"/>
      <c r="J69" s="2"/>
    </row>
    <row r="70" spans="1:10">
      <c r="A70" s="2"/>
      <c r="B70" s="2"/>
      <c r="C70" s="2"/>
      <c r="D70" s="2"/>
      <c r="E70" s="4"/>
      <c r="F70" s="2"/>
      <c r="G70" s="2"/>
      <c r="H70" s="2"/>
      <c r="I70" s="2"/>
      <c r="J70" s="2"/>
    </row>
    <row r="71" spans="1:10">
      <c r="A71" s="2"/>
      <c r="B71" s="2"/>
      <c r="C71" s="2"/>
      <c r="D71" s="2"/>
      <c r="E71" s="4"/>
      <c r="F71" s="2"/>
      <c r="G71" s="2"/>
      <c r="H71" s="2"/>
      <c r="I71" s="2"/>
      <c r="J71" s="2"/>
    </row>
    <row r="72" spans="1:10">
      <c r="A72" s="2"/>
      <c r="B72" s="2"/>
      <c r="C72" s="2"/>
      <c r="D72" s="2"/>
      <c r="E72" s="4"/>
      <c r="F72" s="2"/>
      <c r="G72" s="2"/>
      <c r="H72" s="2"/>
      <c r="I72" s="2"/>
      <c r="J72" s="2"/>
    </row>
    <row r="73" spans="1:10">
      <c r="A73" s="2"/>
      <c r="B73" s="2"/>
      <c r="C73" s="2"/>
      <c r="D73" s="2"/>
      <c r="E73" s="4"/>
      <c r="F73" s="2"/>
      <c r="G73" s="2"/>
      <c r="H73" s="2"/>
      <c r="I73" s="2"/>
      <c r="J73" s="2"/>
    </row>
    <row r="74" spans="1:10">
      <c r="A74" s="2"/>
      <c r="B74" s="2"/>
      <c r="C74" s="2"/>
      <c r="D74" s="2"/>
      <c r="E74" s="4"/>
      <c r="F74" s="2"/>
      <c r="G74" s="2"/>
      <c r="H74" s="2"/>
      <c r="I74" s="2"/>
      <c r="J74" s="2"/>
    </row>
    <row r="75" spans="1:10">
      <c r="A75" s="2"/>
      <c r="B75" s="2"/>
      <c r="C75" s="2"/>
      <c r="D75" s="2"/>
      <c r="E75" s="4"/>
      <c r="F75" s="2"/>
      <c r="G75" s="2"/>
      <c r="H75" s="2"/>
      <c r="I75" s="2"/>
      <c r="J75" s="2"/>
    </row>
    <row r="76" spans="1:10">
      <c r="A76" s="2"/>
      <c r="B76" s="2"/>
      <c r="C76" s="2"/>
      <c r="D76" s="2"/>
      <c r="E76" s="4"/>
      <c r="F76" s="2"/>
      <c r="G76" s="2"/>
      <c r="H76" s="2"/>
      <c r="I76" s="2"/>
      <c r="J76" s="2"/>
    </row>
    <row r="77" spans="1:10">
      <c r="A77" s="2"/>
      <c r="B77" s="2"/>
      <c r="C77" s="2"/>
      <c r="D77" s="2"/>
      <c r="E77" s="4"/>
      <c r="F77" s="2"/>
      <c r="G77" s="2"/>
      <c r="H77" s="2"/>
      <c r="I77" s="2"/>
      <c r="J77" s="2"/>
    </row>
    <row r="78" spans="1:10">
      <c r="A78" s="2"/>
      <c r="B78" s="2"/>
      <c r="C78" s="2"/>
      <c r="D78" s="2"/>
      <c r="E78" s="4"/>
      <c r="F78" s="2"/>
      <c r="G78" s="2"/>
      <c r="H78" s="2"/>
      <c r="I78" s="2"/>
      <c r="J78" s="2"/>
    </row>
    <row r="79" spans="1:10">
      <c r="A79" s="2"/>
      <c r="B79" s="2"/>
      <c r="C79" s="2"/>
      <c r="D79" s="2"/>
      <c r="E79" s="4"/>
      <c r="F79" s="2"/>
      <c r="G79" s="2"/>
      <c r="H79" s="2"/>
      <c r="I79" s="2"/>
      <c r="J79" s="2"/>
    </row>
    <row r="80" spans="1:10">
      <c r="A80" s="2"/>
      <c r="B80" s="2"/>
      <c r="C80" s="2"/>
      <c r="D80" s="2"/>
      <c r="E80" s="4"/>
      <c r="F80" s="2"/>
      <c r="G80" s="2"/>
      <c r="H80" s="2"/>
      <c r="I80" s="2"/>
      <c r="J80" s="2"/>
    </row>
    <row r="81" spans="1:10">
      <c r="A81" s="2"/>
      <c r="B81" s="2"/>
      <c r="C81" s="2"/>
      <c r="D81" s="2"/>
      <c r="E81" s="4"/>
      <c r="F81" s="2"/>
      <c r="G81" s="2"/>
      <c r="H81" s="2"/>
      <c r="I81" s="2"/>
      <c r="J81" s="2"/>
    </row>
    <row r="82" spans="1:10">
      <c r="A82" s="2"/>
      <c r="B82" s="2"/>
      <c r="C82" s="2"/>
      <c r="D82" s="2"/>
      <c r="E82" s="4"/>
      <c r="F82" s="2"/>
      <c r="G82" s="2"/>
      <c r="H82" s="2"/>
      <c r="I82" s="2"/>
      <c r="J82" s="2"/>
    </row>
    <row r="83" spans="1:10">
      <c r="A83" s="2"/>
      <c r="B83" s="2"/>
      <c r="C83" s="2"/>
      <c r="D83" s="2"/>
      <c r="E83" s="4"/>
      <c r="F83" s="2"/>
      <c r="G83" s="2"/>
      <c r="H83" s="2"/>
      <c r="I83" s="2"/>
      <c r="J83" s="2"/>
    </row>
    <row r="84" spans="1:10">
      <c r="A84" s="2"/>
      <c r="B84" s="2"/>
      <c r="C84" s="2"/>
      <c r="D84" s="2"/>
      <c r="E84" s="4"/>
      <c r="F84" s="2"/>
      <c r="G84" s="2"/>
      <c r="H84" s="2"/>
      <c r="I84" s="2"/>
      <c r="J84" s="2"/>
    </row>
    <row r="85" spans="1:10">
      <c r="A85" s="2"/>
      <c r="B85" s="2"/>
      <c r="C85" s="2"/>
      <c r="D85" s="2"/>
      <c r="E85" s="4"/>
      <c r="F85" s="2"/>
      <c r="G85" s="2"/>
      <c r="H85" s="2"/>
      <c r="I85" s="2"/>
      <c r="J85" s="2"/>
    </row>
    <row r="86" spans="1:10">
      <c r="A86" s="2"/>
      <c r="B86" s="2"/>
      <c r="C86" s="2"/>
      <c r="D86" s="2"/>
      <c r="E86" s="4"/>
      <c r="F86" s="2"/>
      <c r="G86" s="2"/>
      <c r="H86" s="2"/>
      <c r="I86" s="2"/>
      <c r="J86" s="2"/>
    </row>
    <row r="87" spans="1:10">
      <c r="A87" s="2"/>
      <c r="B87" s="2"/>
      <c r="C87" s="2"/>
      <c r="D87" s="2"/>
      <c r="E87" s="4"/>
      <c r="F87" s="2"/>
      <c r="G87" s="2"/>
      <c r="H87" s="2"/>
      <c r="I87" s="2"/>
      <c r="J87" s="2"/>
    </row>
    <row r="88" spans="1:10">
      <c r="A88" s="2"/>
      <c r="B88" s="2"/>
      <c r="C88" s="2"/>
      <c r="D88" s="2"/>
      <c r="E88" s="4"/>
      <c r="F88" s="2"/>
      <c r="G88" s="2"/>
      <c r="H88" s="2"/>
      <c r="I88" s="2"/>
      <c r="J88" s="2"/>
    </row>
    <row r="89" spans="1:10">
      <c r="A89" s="2"/>
      <c r="B89" s="2"/>
      <c r="C89" s="2"/>
      <c r="D89" s="2"/>
      <c r="E89" s="4"/>
      <c r="F89" s="2"/>
      <c r="G89" s="2"/>
      <c r="H89" s="2"/>
      <c r="I89" s="2"/>
      <c r="J89" s="2"/>
    </row>
    <row r="90" spans="1:10">
      <c r="A90" s="2"/>
      <c r="B90" s="2"/>
      <c r="C90" s="2"/>
      <c r="D90" s="2"/>
      <c r="E90" s="4"/>
      <c r="F90" s="2"/>
      <c r="G90" s="2"/>
      <c r="H90" s="2"/>
      <c r="I90" s="2"/>
      <c r="J90" s="2"/>
    </row>
    <row r="91" spans="1:10">
      <c r="A91" s="2"/>
      <c r="B91" s="2"/>
      <c r="C91" s="2"/>
      <c r="D91" s="2"/>
      <c r="E91" s="4"/>
      <c r="F91" s="2"/>
      <c r="G91" s="2"/>
      <c r="H91" s="2"/>
      <c r="I91" s="2"/>
      <c r="J91" s="2"/>
    </row>
    <row r="92" spans="1:10">
      <c r="A92" s="2"/>
      <c r="B92" s="2"/>
      <c r="C92" s="2"/>
      <c r="D92" s="2"/>
      <c r="E92" s="4"/>
      <c r="F92" s="2"/>
      <c r="G92" s="2"/>
      <c r="H92" s="2"/>
      <c r="I92" s="2"/>
      <c r="J92" s="2"/>
    </row>
    <row r="93" spans="1:10">
      <c r="A93" s="2"/>
      <c r="B93" s="2"/>
      <c r="C93" s="2"/>
      <c r="D93" s="2"/>
      <c r="E93" s="4"/>
      <c r="F93" s="2"/>
      <c r="G93" s="2"/>
      <c r="H93" s="2"/>
      <c r="I93" s="2"/>
      <c r="J93" s="2"/>
    </row>
    <row r="94" spans="1:10">
      <c r="A94" s="2"/>
      <c r="B94" s="2"/>
      <c r="C94" s="2"/>
      <c r="D94" s="2"/>
      <c r="E94" s="4"/>
      <c r="F94" s="2"/>
      <c r="G94" s="2"/>
      <c r="H94" s="2"/>
      <c r="I94" s="2"/>
      <c r="J94" s="2"/>
    </row>
    <row r="95" spans="1:10">
      <c r="A95" s="2"/>
      <c r="B95" s="2"/>
      <c r="C95" s="2"/>
      <c r="D95" s="2"/>
      <c r="E95" s="4"/>
      <c r="F95" s="2"/>
      <c r="G95" s="2"/>
      <c r="H95" s="2"/>
      <c r="I95" s="2"/>
      <c r="J95" s="2"/>
    </row>
    <row r="96" spans="1:10">
      <c r="A96" s="2"/>
      <c r="B96" s="2"/>
      <c r="C96" s="2"/>
      <c r="D96" s="2"/>
      <c r="E96" s="4"/>
      <c r="F96" s="2"/>
      <c r="G96" s="2"/>
      <c r="H96" s="2"/>
      <c r="I96" s="2"/>
      <c r="J96" s="2"/>
    </row>
    <row r="97" spans="1:10">
      <c r="A97" s="2"/>
      <c r="B97" s="2"/>
      <c r="C97" s="2"/>
      <c r="D97" s="2"/>
      <c r="E97" s="4"/>
      <c r="F97" s="2"/>
      <c r="G97" s="2"/>
      <c r="H97" s="2"/>
      <c r="I97" s="2"/>
      <c r="J97" s="2"/>
    </row>
    <row r="98" spans="1:10">
      <c r="A98" s="2"/>
      <c r="B98" s="2"/>
      <c r="C98" s="2"/>
      <c r="D98" s="2"/>
      <c r="E98" s="4"/>
      <c r="F98" s="2"/>
      <c r="G98" s="2"/>
      <c r="H98" s="2"/>
      <c r="I98" s="2"/>
      <c r="J98" s="2"/>
    </row>
    <row r="99" spans="1:10">
      <c r="A99" s="2"/>
      <c r="B99" s="2"/>
      <c r="C99" s="2"/>
      <c r="D99" s="2"/>
      <c r="E99" s="4"/>
      <c r="F99" s="2"/>
      <c r="G99" s="2"/>
      <c r="H99" s="2"/>
      <c r="I99" s="2"/>
      <c r="J99" s="2"/>
    </row>
    <row r="100" spans="1:10">
      <c r="A100" s="2"/>
      <c r="B100" s="2"/>
      <c r="C100" s="2"/>
      <c r="D100" s="2"/>
      <c r="E100" s="4"/>
      <c r="F100" s="2"/>
      <c r="G100" s="2"/>
      <c r="H100" s="2"/>
      <c r="I100" s="2"/>
      <c r="J100" s="2"/>
    </row>
  </sheetData>
  <dataValidations count="1">
    <dataValidation type="list" sqref="I2:I100" xr:uid="{00000000-0002-0000-0600-000000000000}">
      <formula1>"No iniciado,En prueba,Aprobado,Aprobado con observaciones,Bloqueado"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"/>
  <sheetViews>
    <sheetView showGridLines="0" workbookViewId="0"/>
  </sheetViews>
  <sheetFormatPr baseColWidth="10" defaultColWidth="8.796875" defaultRowHeight="13.8"/>
  <cols>
    <col min="1" max="1" width="8.09765625" customWidth="1"/>
    <col min="2" max="2" width="13.69921875" customWidth="1"/>
    <col min="3" max="3" width="47.5" customWidth="1"/>
    <col min="4" max="4" width="12.5" customWidth="1"/>
    <col min="5" max="5" width="14.3984375" customWidth="1"/>
    <col min="6" max="6" width="45" customWidth="1"/>
    <col min="7" max="7" width="15" customWidth="1"/>
    <col min="8" max="8" width="20" customWidth="1"/>
    <col min="9" max="9" width="15" customWidth="1"/>
  </cols>
  <sheetData>
    <row r="1" spans="1:9">
      <c r="A1" s="6" t="s">
        <v>102</v>
      </c>
      <c r="B1" s="6" t="s">
        <v>210</v>
      </c>
      <c r="C1" s="6" t="s">
        <v>641</v>
      </c>
      <c r="D1" s="6" t="s">
        <v>642</v>
      </c>
      <c r="E1" s="6" t="s">
        <v>643</v>
      </c>
      <c r="F1" s="6" t="s">
        <v>644</v>
      </c>
      <c r="G1" s="6" t="s">
        <v>109</v>
      </c>
      <c r="H1" s="6" t="s">
        <v>107</v>
      </c>
      <c r="I1" s="6" t="s">
        <v>645</v>
      </c>
    </row>
    <row r="2" spans="1:9" ht="27.6">
      <c r="A2" s="2" t="s">
        <v>646</v>
      </c>
      <c r="B2" s="2" t="s">
        <v>275</v>
      </c>
      <c r="C2" s="2" t="s">
        <v>647</v>
      </c>
      <c r="D2" s="2" t="s">
        <v>240</v>
      </c>
      <c r="E2" s="2" t="s">
        <v>263</v>
      </c>
      <c r="F2" s="2" t="s">
        <v>648</v>
      </c>
      <c r="G2" s="2" t="s">
        <v>649</v>
      </c>
      <c r="H2" s="2" t="s">
        <v>58</v>
      </c>
      <c r="I2" s="2"/>
    </row>
    <row r="3" spans="1:9" ht="27.6">
      <c r="A3" s="2" t="s">
        <v>650</v>
      </c>
      <c r="B3" s="2" t="s">
        <v>651</v>
      </c>
      <c r="C3" s="2" t="s">
        <v>652</v>
      </c>
      <c r="D3" s="2" t="s">
        <v>240</v>
      </c>
      <c r="E3" s="2" t="s">
        <v>263</v>
      </c>
      <c r="F3" s="2" t="s">
        <v>653</v>
      </c>
      <c r="G3" s="2" t="s">
        <v>649</v>
      </c>
      <c r="H3" s="2" t="s">
        <v>58</v>
      </c>
      <c r="I3" s="2"/>
    </row>
    <row r="4" spans="1:9">
      <c r="A4" s="2" t="s">
        <v>654</v>
      </c>
      <c r="B4" s="2" t="s">
        <v>655</v>
      </c>
      <c r="C4" s="2" t="s">
        <v>656</v>
      </c>
      <c r="D4" s="2" t="s">
        <v>228</v>
      </c>
      <c r="E4" s="2" t="s">
        <v>360</v>
      </c>
      <c r="F4" s="2" t="s">
        <v>657</v>
      </c>
      <c r="G4" s="2" t="s">
        <v>649</v>
      </c>
      <c r="H4" s="2" t="s">
        <v>127</v>
      </c>
      <c r="I4" s="2"/>
    </row>
    <row r="5" spans="1:9" ht="27.6">
      <c r="A5" s="2" t="s">
        <v>658</v>
      </c>
      <c r="B5" s="2" t="s">
        <v>659</v>
      </c>
      <c r="C5" s="2" t="s">
        <v>660</v>
      </c>
      <c r="D5" s="2" t="s">
        <v>263</v>
      </c>
      <c r="E5" s="2" t="s">
        <v>263</v>
      </c>
      <c r="F5" s="2" t="s">
        <v>661</v>
      </c>
      <c r="G5" s="2" t="s">
        <v>649</v>
      </c>
      <c r="H5" s="2" t="s">
        <v>58</v>
      </c>
      <c r="I5" s="2"/>
    </row>
    <row r="6" spans="1:9" ht="27.6">
      <c r="A6" s="2" t="s">
        <v>662</v>
      </c>
      <c r="B6" s="2" t="s">
        <v>663</v>
      </c>
      <c r="C6" s="2" t="s">
        <v>664</v>
      </c>
      <c r="D6" s="2" t="s">
        <v>263</v>
      </c>
      <c r="E6" s="2" t="s">
        <v>263</v>
      </c>
      <c r="F6" s="2" t="s">
        <v>665</v>
      </c>
      <c r="G6" s="2" t="s">
        <v>649</v>
      </c>
      <c r="H6" s="2" t="s">
        <v>58</v>
      </c>
      <c r="I6" s="2"/>
    </row>
  </sheetData>
  <dataValidations count="1">
    <dataValidation type="list" sqref="G2:G100" xr:uid="{00000000-0002-0000-0700-000000000000}">
      <formula1>"Abierto,En mitigacion,Cerrado"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"/>
  <sheetViews>
    <sheetView showGridLines="0" workbookViewId="0"/>
  </sheetViews>
  <sheetFormatPr baseColWidth="10" defaultColWidth="8.796875" defaultRowHeight="13.8"/>
  <cols>
    <col min="1" max="1" width="20" customWidth="1"/>
    <col min="2" max="2" width="35" customWidth="1"/>
    <col min="3" max="3" width="40" customWidth="1"/>
    <col min="4" max="4" width="13.69921875" customWidth="1"/>
    <col min="5" max="5" width="18.69921875" customWidth="1"/>
    <col min="6" max="6" width="32.5" customWidth="1"/>
  </cols>
  <sheetData>
    <row r="1" spans="1:6" ht="25.5" customHeight="1">
      <c r="A1" s="5" t="s">
        <v>666</v>
      </c>
      <c r="B1" s="5"/>
      <c r="C1" s="5"/>
      <c r="D1" s="5"/>
      <c r="E1" s="5"/>
      <c r="F1" s="5"/>
    </row>
    <row r="2" spans="1:6">
      <c r="A2" s="2"/>
      <c r="B2" s="2"/>
      <c r="C2" s="2"/>
      <c r="D2" s="2"/>
      <c r="E2" s="2"/>
      <c r="F2" s="2"/>
    </row>
    <row r="3" spans="1:6">
      <c r="A3" s="6" t="s">
        <v>667</v>
      </c>
      <c r="B3" s="6" t="s">
        <v>668</v>
      </c>
      <c r="C3" s="6" t="s">
        <v>669</v>
      </c>
      <c r="D3" s="6" t="s">
        <v>670</v>
      </c>
      <c r="E3" s="6" t="s">
        <v>107</v>
      </c>
      <c r="F3" s="6" t="s">
        <v>172</v>
      </c>
    </row>
    <row r="4" spans="1:6">
      <c r="A4" s="2" t="s">
        <v>102</v>
      </c>
      <c r="B4" s="2" t="s">
        <v>671</v>
      </c>
      <c r="C4" s="2" t="s">
        <v>672</v>
      </c>
      <c r="D4" s="2" t="s">
        <v>673</v>
      </c>
      <c r="E4" s="2" t="s">
        <v>58</v>
      </c>
      <c r="F4" s="2" t="s">
        <v>674</v>
      </c>
    </row>
    <row r="5" spans="1:6" ht="27.6">
      <c r="A5" s="2" t="s">
        <v>170</v>
      </c>
      <c r="B5" s="2" t="s">
        <v>675</v>
      </c>
      <c r="C5" s="2" t="s">
        <v>676</v>
      </c>
      <c r="D5" s="2" t="s">
        <v>673</v>
      </c>
      <c r="E5" s="2" t="s">
        <v>677</v>
      </c>
      <c r="F5" s="2"/>
    </row>
    <row r="6" spans="1:6">
      <c r="A6" s="2" t="s">
        <v>678</v>
      </c>
      <c r="B6" s="2" t="s">
        <v>679</v>
      </c>
      <c r="C6" s="2" t="s">
        <v>220</v>
      </c>
      <c r="D6" s="2" t="s">
        <v>673</v>
      </c>
      <c r="E6" s="2" t="s">
        <v>677</v>
      </c>
      <c r="F6" s="2"/>
    </row>
    <row r="7" spans="1:6">
      <c r="A7" s="2" t="s">
        <v>218</v>
      </c>
      <c r="B7" s="2" t="s">
        <v>680</v>
      </c>
      <c r="C7" s="2" t="s">
        <v>681</v>
      </c>
      <c r="D7" s="2" t="s">
        <v>673</v>
      </c>
      <c r="E7" s="2" t="s">
        <v>58</v>
      </c>
      <c r="F7" s="2" t="s">
        <v>682</v>
      </c>
    </row>
    <row r="8" spans="1:6">
      <c r="A8" s="2" t="s">
        <v>683</v>
      </c>
      <c r="B8" s="2" t="s">
        <v>684</v>
      </c>
      <c r="C8" s="2" t="s">
        <v>685</v>
      </c>
      <c r="D8" s="2" t="s">
        <v>673</v>
      </c>
      <c r="E8" s="2" t="s">
        <v>677</v>
      </c>
      <c r="F8" s="2" t="s">
        <v>686</v>
      </c>
    </row>
    <row r="9" spans="1:6">
      <c r="A9" s="2" t="s">
        <v>687</v>
      </c>
      <c r="B9" s="2" t="s">
        <v>688</v>
      </c>
      <c r="C9" s="2" t="s">
        <v>689</v>
      </c>
      <c r="D9" s="2" t="s">
        <v>673</v>
      </c>
      <c r="E9" s="2" t="s">
        <v>677</v>
      </c>
      <c r="F9" s="2"/>
    </row>
    <row r="10" spans="1:6">
      <c r="A10" s="2" t="s">
        <v>214</v>
      </c>
      <c r="B10" s="2" t="s">
        <v>690</v>
      </c>
      <c r="C10" s="2" t="s">
        <v>691</v>
      </c>
      <c r="D10" s="2" t="s">
        <v>673</v>
      </c>
      <c r="E10" s="2" t="s">
        <v>677</v>
      </c>
      <c r="F10" s="2"/>
    </row>
    <row r="11" spans="1:6">
      <c r="A11" s="2" t="s">
        <v>692</v>
      </c>
      <c r="B11" s="2" t="s">
        <v>693</v>
      </c>
      <c r="C11" s="2" t="s">
        <v>694</v>
      </c>
      <c r="D11" s="2" t="s">
        <v>673</v>
      </c>
      <c r="E11" s="2" t="s">
        <v>677</v>
      </c>
      <c r="F1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Flujo y responsables</vt:lpstr>
      <vt:lpstr>Plan</vt:lpstr>
      <vt:lpstr>Plan por modulo</vt:lpstr>
      <vt:lpstr>UAT</vt:lpstr>
      <vt:lpstr>Sesiones</vt:lpstr>
      <vt:lpstr>Criterios por modulo</vt:lpstr>
      <vt:lpstr>Riesgos</vt:lpstr>
      <vt:lpstr>Reporte bug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Alonso Pérez Vázquez</cp:lastModifiedBy>
  <dcterms:modified xsi:type="dcterms:W3CDTF">2026-06-02T00:10:44Z</dcterms:modified>
</cp:coreProperties>
</file>